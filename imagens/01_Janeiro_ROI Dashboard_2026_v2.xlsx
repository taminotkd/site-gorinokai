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4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6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7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esktop/Ambev - Arquivos/"/>
    </mc:Choice>
  </mc:AlternateContent>
  <xr:revisionPtr revIDLastSave="0" documentId="13_ncr:1_{DAD85302-5A8B-874E-8B36-B775990B5E9B}" xr6:coauthVersionLast="47" xr6:coauthVersionMax="47" xr10:uidLastSave="{00000000-0000-0000-0000-000000000000}"/>
  <bookViews>
    <workbookView xWindow="0" yWindow="660" windowWidth="30240" windowHeight="17440" tabRatio="858" activeTab="14" xr2:uid="{00000000-000D-0000-FFFF-FFFF00000000}"/>
  </bookViews>
  <sheets>
    <sheet name="aux" sheetId="50" state="hidden" r:id="rId1"/>
    <sheet name="MANAGERIAL DASHBOARD_2026" sheetId="53" r:id="rId2"/>
    <sheet name="PORTFOLIO" sheetId="27" r:id="rId3"/>
    <sheet name="BEER" sheetId="55" r:id="rId4"/>
    <sheet name="Skol + Brahma" sheetId="68" r:id="rId5"/>
    <sheet name="Flying Fish" sheetId="71" r:id="rId6"/>
    <sheet name="Brutal Fruit" sheetId="70" r:id="rId7"/>
    <sheet name="Brahma" sheetId="54" r:id="rId8"/>
    <sheet name="Beats" sheetId="60" r:id="rId9"/>
    <sheet name="Budweiser" sheetId="56" r:id="rId10"/>
    <sheet name="Corona" sheetId="57" r:id="rId11"/>
    <sheet name="Fusion" sheetId="64" r:id="rId12"/>
    <sheet name="Guarana" sheetId="62" r:id="rId13"/>
    <sheet name="Mikes" sheetId="61" r:id="rId14"/>
    <sheet name="Skol" sheetId="59" r:id="rId15"/>
    <sheet name="Spaten" sheetId="58" r:id="rId16"/>
    <sheet name="Stella Artois" sheetId="66" r:id="rId17"/>
    <sheet name="Becks" sheetId="34" state="hidden" r:id="rId18"/>
    <sheet name="Michelob" sheetId="38" state="hidden" r:id="rId19"/>
    <sheet name="Tonica" sheetId="67" r:id="rId20"/>
    <sheet name="Patagonia" sheetId="40" state="hidden" r:id="rId21"/>
    <sheet name="Zé Delivery" sheetId="63" r:id="rId22"/>
    <sheet name="Institucional" sheetId="65" state="hidden" r:id="rId23"/>
    <sheet name="Database" sheetId="69" r:id="rId24"/>
    <sheet name="data usage" sheetId="52" r:id="rId25"/>
    <sheet name="cp&gt;12W" sheetId="44" r:id="rId26"/>
    <sheet name="% 10&quot;" sheetId="45" r:id="rId27"/>
    <sheet name="reach_fb" sheetId="46" r:id="rId28"/>
    <sheet name="freq_fb" sheetId="47" r:id="rId29"/>
    <sheet name="reach_yt" sheetId="48" r:id="rId30"/>
    <sheet name="mix_yt" sheetId="49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67" l="1"/>
  <c r="Q10" i="67"/>
  <c r="P10" i="67"/>
  <c r="O10" i="67"/>
  <c r="N10" i="67"/>
  <c r="M10" i="67"/>
  <c r="L10" i="67"/>
  <c r="K10" i="67"/>
  <c r="J10" i="67"/>
  <c r="I10" i="67"/>
  <c r="H10" i="67"/>
  <c r="G10" i="67"/>
  <c r="F10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Q10" i="64"/>
  <c r="P10" i="64"/>
  <c r="O10" i="64"/>
  <c r="N10" i="64"/>
  <c r="M10" i="64"/>
  <c r="L10" i="64"/>
  <c r="K10" i="64"/>
  <c r="J10" i="64"/>
  <c r="I10" i="64"/>
  <c r="H10" i="64"/>
  <c r="Q9" i="64"/>
  <c r="P9" i="64"/>
  <c r="O9" i="64"/>
  <c r="N9" i="64"/>
  <c r="M9" i="64"/>
  <c r="L9" i="64"/>
  <c r="K9" i="64"/>
  <c r="J9" i="64"/>
  <c r="I9" i="64"/>
  <c r="H9" i="64"/>
  <c r="G10" i="64"/>
  <c r="G9" i="64"/>
  <c r="F10" i="64"/>
  <c r="F9" i="64"/>
  <c r="R10" i="64"/>
  <c r="R9" i="64"/>
  <c r="R10" i="62"/>
  <c r="R9" i="62"/>
  <c r="Q10" i="62"/>
  <c r="P10" i="62"/>
  <c r="O10" i="62"/>
  <c r="N10" i="62"/>
  <c r="M10" i="62"/>
  <c r="L10" i="62"/>
  <c r="K10" i="62"/>
  <c r="J10" i="62"/>
  <c r="I10" i="62"/>
  <c r="H10" i="62"/>
  <c r="G10" i="62"/>
  <c r="Q9" i="62"/>
  <c r="P9" i="62"/>
  <c r="O9" i="62"/>
  <c r="N9" i="62"/>
  <c r="M9" i="62"/>
  <c r="L9" i="62"/>
  <c r="K9" i="62"/>
  <c r="J9" i="62"/>
  <c r="I9" i="62"/>
  <c r="H9" i="62"/>
  <c r="G9" i="62"/>
  <c r="F10" i="62"/>
  <c r="F9" i="62"/>
  <c r="R10" i="55"/>
  <c r="R9" i="55"/>
  <c r="R10" i="27"/>
  <c r="R9" i="27"/>
  <c r="F9" i="55"/>
  <c r="F10" i="55"/>
  <c r="Q10" i="55"/>
  <c r="P10" i="55"/>
  <c r="O10" i="55"/>
  <c r="N10" i="55"/>
  <c r="M10" i="55"/>
  <c r="L10" i="55"/>
  <c r="K10" i="55"/>
  <c r="J10" i="55"/>
  <c r="I10" i="55"/>
  <c r="H10" i="55"/>
  <c r="G10" i="55"/>
  <c r="Q9" i="55"/>
  <c r="P9" i="55"/>
  <c r="O9" i="55"/>
  <c r="N9" i="55"/>
  <c r="M9" i="55"/>
  <c r="L9" i="55"/>
  <c r="K9" i="55"/>
  <c r="J9" i="55"/>
  <c r="I9" i="55"/>
  <c r="H9" i="55"/>
  <c r="G9" i="55"/>
  <c r="Q10" i="27"/>
  <c r="P10" i="27"/>
  <c r="O10" i="27"/>
  <c r="N10" i="27"/>
  <c r="M10" i="27"/>
  <c r="L10" i="27"/>
  <c r="K10" i="27"/>
  <c r="J10" i="27"/>
  <c r="I10" i="27"/>
  <c r="H10" i="27"/>
  <c r="G10" i="27"/>
  <c r="Q9" i="27"/>
  <c r="P9" i="27"/>
  <c r="O9" i="27"/>
  <c r="N9" i="27"/>
  <c r="M9" i="27"/>
  <c r="L9" i="27"/>
  <c r="K9" i="27"/>
  <c r="J9" i="27"/>
  <c r="I9" i="27"/>
  <c r="H9" i="27"/>
  <c r="G9" i="27"/>
  <c r="F9" i="27"/>
  <c r="F10" i="27"/>
  <c r="AH19" i="69"/>
  <c r="AH18" i="69"/>
  <c r="AH17" i="69"/>
  <c r="AH16" i="69"/>
  <c r="AH15" i="69"/>
  <c r="R9" i="66" s="1"/>
  <c r="AH14" i="69"/>
  <c r="AH13" i="69"/>
  <c r="R9" i="59" s="1"/>
  <c r="AH11" i="69"/>
  <c r="AH10" i="69"/>
  <c r="AH9" i="69"/>
  <c r="R9" i="71" s="1"/>
  <c r="R10" i="53" s="1"/>
  <c r="AH8" i="69"/>
  <c r="AH7" i="69"/>
  <c r="AH6" i="69"/>
  <c r="AH5" i="69"/>
  <c r="AH4" i="69"/>
  <c r="AH12" i="69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Q9" i="66"/>
  <c r="P9" i="66"/>
  <c r="O9" i="66"/>
  <c r="N9" i="66"/>
  <c r="M9" i="66"/>
  <c r="L9" i="66"/>
  <c r="K9" i="66"/>
  <c r="J9" i="66"/>
  <c r="I9" i="66"/>
  <c r="H9" i="66"/>
  <c r="G9" i="66"/>
  <c r="F9" i="66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Q9" i="59"/>
  <c r="P9" i="59"/>
  <c r="O9" i="59"/>
  <c r="N9" i="59"/>
  <c r="M9" i="59"/>
  <c r="L9" i="59"/>
  <c r="K9" i="59"/>
  <c r="J9" i="59"/>
  <c r="I9" i="59"/>
  <c r="H9" i="59"/>
  <c r="G9" i="59"/>
  <c r="F9" i="59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R10" i="71"/>
  <c r="R11" i="53" s="1"/>
  <c r="Q10" i="71"/>
  <c r="P10" i="71"/>
  <c r="O10" i="71"/>
  <c r="N10" i="71"/>
  <c r="M10" i="71"/>
  <c r="L10" i="71"/>
  <c r="K10" i="71"/>
  <c r="J10" i="71"/>
  <c r="I10" i="71"/>
  <c r="H10" i="71"/>
  <c r="G10" i="71"/>
  <c r="F10" i="71"/>
  <c r="Q9" i="71"/>
  <c r="P9" i="71"/>
  <c r="O9" i="71"/>
  <c r="N9" i="71"/>
  <c r="M9" i="71"/>
  <c r="L9" i="71"/>
  <c r="K9" i="71"/>
  <c r="J9" i="71"/>
  <c r="I9" i="71"/>
  <c r="H9" i="71"/>
  <c r="G9" i="71"/>
  <c r="F9" i="71"/>
  <c r="R10" i="70"/>
  <c r="R9" i="70"/>
  <c r="Q10" i="70"/>
  <c r="P10" i="70"/>
  <c r="O10" i="70"/>
  <c r="N10" i="70"/>
  <c r="M10" i="70"/>
  <c r="L10" i="70"/>
  <c r="K10" i="70"/>
  <c r="J10" i="70"/>
  <c r="I10" i="70"/>
  <c r="H10" i="70"/>
  <c r="G10" i="70"/>
  <c r="F10" i="70"/>
  <c r="Q9" i="70"/>
  <c r="P9" i="70"/>
  <c r="O9" i="70"/>
  <c r="N9" i="70"/>
  <c r="M9" i="70"/>
  <c r="L9" i="70"/>
  <c r="K9" i="70"/>
  <c r="J9" i="70"/>
  <c r="I9" i="70"/>
  <c r="H9" i="70"/>
  <c r="G9" i="70"/>
  <c r="F9" i="70"/>
  <c r="Q10" i="54"/>
  <c r="P10" i="54"/>
  <c r="O10" i="54"/>
  <c r="N10" i="54"/>
  <c r="M10" i="54"/>
  <c r="L10" i="54"/>
  <c r="K10" i="54"/>
  <c r="J10" i="54"/>
  <c r="I10" i="54"/>
  <c r="H10" i="54"/>
  <c r="Q9" i="54"/>
  <c r="P9" i="54"/>
  <c r="O9" i="54"/>
  <c r="N9" i="54"/>
  <c r="M9" i="54"/>
  <c r="L9" i="54"/>
  <c r="K9" i="54"/>
  <c r="J9" i="54"/>
  <c r="I9" i="54"/>
  <c r="H9" i="54"/>
  <c r="G10" i="54"/>
  <c r="G9" i="54"/>
  <c r="R10" i="54"/>
  <c r="R9" i="54"/>
  <c r="F10" i="54"/>
  <c r="F9" i="54"/>
  <c r="AH44" i="69"/>
  <c r="AH43" i="69"/>
  <c r="AH42" i="69"/>
  <c r="AH41" i="69"/>
  <c r="AH40" i="69"/>
  <c r="AH39" i="69"/>
  <c r="AH38" i="69"/>
  <c r="AH37" i="69"/>
  <c r="AH36" i="69"/>
  <c r="AH35" i="69"/>
  <c r="AH34" i="69"/>
  <c r="AH33" i="69"/>
  <c r="AH32" i="69"/>
  <c r="AH31" i="69"/>
  <c r="AH30" i="69"/>
  <c r="AH29" i="69"/>
  <c r="R11" i="71"/>
  <c r="R12" i="53" s="1"/>
  <c r="F11" i="71"/>
  <c r="F6" i="71"/>
  <c r="R16" i="53"/>
  <c r="R15" i="53"/>
  <c r="R14" i="53"/>
  <c r="R9" i="53"/>
  <c r="R8" i="53"/>
  <c r="R12" i="71"/>
  <c r="R13" i="53" s="1"/>
  <c r="Q12" i="71"/>
  <c r="P12" i="71"/>
  <c r="O12" i="71"/>
  <c r="N12" i="71"/>
  <c r="M12" i="71"/>
  <c r="L12" i="71"/>
  <c r="K12" i="71"/>
  <c r="J12" i="71"/>
  <c r="I12" i="71"/>
  <c r="H12" i="71"/>
  <c r="G12" i="71"/>
  <c r="F12" i="71"/>
  <c r="Q11" i="71"/>
  <c r="P11" i="71"/>
  <c r="O11" i="71"/>
  <c r="N11" i="71"/>
  <c r="M11" i="71"/>
  <c r="L11" i="71"/>
  <c r="K11" i="71"/>
  <c r="J11" i="71"/>
  <c r="I11" i="71"/>
  <c r="H11" i="71"/>
  <c r="G11" i="71"/>
  <c r="R6" i="71"/>
  <c r="R7" i="53" s="1"/>
  <c r="Q6" i="71"/>
  <c r="P6" i="71"/>
  <c r="O6" i="71"/>
  <c r="N6" i="71"/>
  <c r="M6" i="71"/>
  <c r="L6" i="71"/>
  <c r="K6" i="71"/>
  <c r="J6" i="71"/>
  <c r="I6" i="71"/>
  <c r="H6" i="71"/>
  <c r="G6" i="71"/>
  <c r="R5" i="71"/>
  <c r="R6" i="53" s="1"/>
  <c r="Q5" i="71"/>
  <c r="P5" i="71"/>
  <c r="O5" i="71"/>
  <c r="N5" i="71"/>
  <c r="M5" i="71"/>
  <c r="L5" i="71"/>
  <c r="K5" i="71"/>
  <c r="J5" i="71"/>
  <c r="I5" i="71"/>
  <c r="H5" i="71"/>
  <c r="G5" i="71"/>
  <c r="F5" i="71"/>
  <c r="R4" i="71"/>
  <c r="R5" i="53" s="1"/>
  <c r="Q4" i="71"/>
  <c r="P4" i="71"/>
  <c r="O4" i="71"/>
  <c r="N4" i="71"/>
  <c r="M4" i="71"/>
  <c r="L4" i="71"/>
  <c r="K4" i="71"/>
  <c r="J4" i="71"/>
  <c r="I4" i="71"/>
  <c r="H4" i="71"/>
  <c r="G4" i="71"/>
  <c r="F4" i="71"/>
  <c r="R12" i="70"/>
  <c r="F12" i="60"/>
  <c r="F11" i="60"/>
  <c r="F12" i="70"/>
  <c r="F11" i="59"/>
  <c r="R12" i="55"/>
  <c r="R11" i="55"/>
  <c r="R12" i="27"/>
  <c r="R11" i="27"/>
  <c r="Q12" i="55"/>
  <c r="P12" i="55"/>
  <c r="O12" i="55"/>
  <c r="N12" i="55"/>
  <c r="M12" i="55"/>
  <c r="L12" i="55"/>
  <c r="K12" i="55"/>
  <c r="J12" i="55"/>
  <c r="I12" i="55"/>
  <c r="H12" i="55"/>
  <c r="G12" i="55"/>
  <c r="F12" i="55"/>
  <c r="Q11" i="55"/>
  <c r="P11" i="55"/>
  <c r="O11" i="55"/>
  <c r="N11" i="55"/>
  <c r="M11" i="55"/>
  <c r="L11" i="55"/>
  <c r="K11" i="55"/>
  <c r="J11" i="55"/>
  <c r="I11" i="55"/>
  <c r="H11" i="55"/>
  <c r="G11" i="55"/>
  <c r="F11" i="55"/>
  <c r="Q12" i="27"/>
  <c r="P12" i="27"/>
  <c r="O12" i="27"/>
  <c r="N12" i="27"/>
  <c r="M12" i="27"/>
  <c r="L12" i="27"/>
  <c r="K12" i="27"/>
  <c r="J12" i="27"/>
  <c r="I12" i="27"/>
  <c r="H12" i="27"/>
  <c r="G12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F12" i="27"/>
  <c r="R12" i="63"/>
  <c r="R11" i="63"/>
  <c r="R12" i="58"/>
  <c r="R11" i="58"/>
  <c r="R11" i="59"/>
  <c r="R12" i="57"/>
  <c r="R11" i="57"/>
  <c r="R12" i="56"/>
  <c r="R11" i="56"/>
  <c r="R12" i="60"/>
  <c r="R11" i="60"/>
  <c r="R12" i="54"/>
  <c r="R11" i="54"/>
  <c r="R11" i="70"/>
  <c r="G6" i="54"/>
  <c r="G4" i="54"/>
  <c r="Q12" i="70"/>
  <c r="P12" i="70"/>
  <c r="O12" i="70"/>
  <c r="N12" i="70"/>
  <c r="M12" i="70"/>
  <c r="L12" i="70"/>
  <c r="K12" i="70"/>
  <c r="J12" i="70"/>
  <c r="I12" i="70"/>
  <c r="H12" i="70"/>
  <c r="G12" i="70"/>
  <c r="Q11" i="70"/>
  <c r="P11" i="70"/>
  <c r="O11" i="70"/>
  <c r="N11" i="70"/>
  <c r="M11" i="70"/>
  <c r="L11" i="70"/>
  <c r="K11" i="70"/>
  <c r="J11" i="70"/>
  <c r="I11" i="70"/>
  <c r="H11" i="70"/>
  <c r="G11" i="70"/>
  <c r="F11" i="70"/>
  <c r="Q12" i="54"/>
  <c r="P12" i="54"/>
  <c r="O12" i="54"/>
  <c r="N12" i="54"/>
  <c r="M12" i="54"/>
  <c r="L12" i="54"/>
  <c r="K12" i="54"/>
  <c r="J12" i="54"/>
  <c r="I12" i="54"/>
  <c r="H12" i="54"/>
  <c r="G12" i="54"/>
  <c r="F12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Q12" i="60"/>
  <c r="P12" i="60"/>
  <c r="O12" i="60"/>
  <c r="N12" i="60"/>
  <c r="M12" i="60"/>
  <c r="L12" i="60"/>
  <c r="K12" i="60"/>
  <c r="J12" i="60"/>
  <c r="I12" i="60"/>
  <c r="H12" i="60"/>
  <c r="G12" i="60"/>
  <c r="Q11" i="60"/>
  <c r="P11" i="60"/>
  <c r="O11" i="60"/>
  <c r="N11" i="60"/>
  <c r="M11" i="60"/>
  <c r="L11" i="60"/>
  <c r="K11" i="60"/>
  <c r="J11" i="60"/>
  <c r="I11" i="60"/>
  <c r="H11" i="60"/>
  <c r="G11" i="60"/>
  <c r="Q12" i="56"/>
  <c r="P12" i="56"/>
  <c r="O12" i="56"/>
  <c r="N12" i="56"/>
  <c r="M12" i="56"/>
  <c r="L12" i="56"/>
  <c r="K12" i="56"/>
  <c r="J12" i="56"/>
  <c r="I12" i="56"/>
  <c r="H12" i="56"/>
  <c r="G12" i="56"/>
  <c r="F12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Q12" i="57"/>
  <c r="P12" i="57"/>
  <c r="O12" i="57"/>
  <c r="N12" i="57"/>
  <c r="M12" i="57"/>
  <c r="L12" i="57"/>
  <c r="K12" i="57"/>
  <c r="J12" i="57"/>
  <c r="I12" i="57"/>
  <c r="H12" i="57"/>
  <c r="G12" i="57"/>
  <c r="F12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Q11" i="59"/>
  <c r="P11" i="59"/>
  <c r="O11" i="59"/>
  <c r="N11" i="59"/>
  <c r="M11" i="59"/>
  <c r="L11" i="59"/>
  <c r="K11" i="59"/>
  <c r="J11" i="59"/>
  <c r="I11" i="59"/>
  <c r="H11" i="59"/>
  <c r="G11" i="59"/>
  <c r="Q12" i="58"/>
  <c r="P12" i="58"/>
  <c r="O12" i="58"/>
  <c r="N12" i="58"/>
  <c r="M12" i="58"/>
  <c r="L12" i="58"/>
  <c r="K12" i="58"/>
  <c r="J12" i="58"/>
  <c r="I12" i="58"/>
  <c r="H12" i="58"/>
  <c r="G12" i="58"/>
  <c r="Q11" i="58"/>
  <c r="P11" i="58"/>
  <c r="O11" i="58"/>
  <c r="N11" i="58"/>
  <c r="M11" i="58"/>
  <c r="L11" i="58"/>
  <c r="K11" i="58"/>
  <c r="J11" i="58"/>
  <c r="I11" i="58"/>
  <c r="H11" i="58"/>
  <c r="G11" i="58"/>
  <c r="F12" i="58"/>
  <c r="F11" i="58"/>
  <c r="Q12" i="63"/>
  <c r="P12" i="63"/>
  <c r="O12" i="63"/>
  <c r="N12" i="63"/>
  <c r="M12" i="63"/>
  <c r="L12" i="63"/>
  <c r="K12" i="63"/>
  <c r="J12" i="63"/>
  <c r="I12" i="63"/>
  <c r="H12" i="63"/>
  <c r="G12" i="63"/>
  <c r="Q11" i="63"/>
  <c r="P11" i="63"/>
  <c r="O11" i="63"/>
  <c r="N11" i="63"/>
  <c r="M11" i="63"/>
  <c r="L11" i="63"/>
  <c r="K11" i="63"/>
  <c r="J11" i="63"/>
  <c r="I11" i="63"/>
  <c r="H11" i="63"/>
  <c r="G11" i="63"/>
  <c r="F12" i="63"/>
  <c r="F11" i="63"/>
  <c r="R5" i="63"/>
  <c r="Q5" i="63"/>
  <c r="P5" i="63"/>
  <c r="O5" i="63"/>
  <c r="N5" i="63"/>
  <c r="M5" i="63"/>
  <c r="L5" i="63"/>
  <c r="K5" i="63"/>
  <c r="J5" i="63"/>
  <c r="I5" i="63"/>
  <c r="H5" i="63"/>
  <c r="G5" i="63"/>
  <c r="F5" i="63"/>
  <c r="R5" i="67"/>
  <c r="Q5" i="67"/>
  <c r="P5" i="67"/>
  <c r="O5" i="67"/>
  <c r="N5" i="67"/>
  <c r="M5" i="67"/>
  <c r="L5" i="67"/>
  <c r="K5" i="67"/>
  <c r="J5" i="67"/>
  <c r="I5" i="67"/>
  <c r="H5" i="67"/>
  <c r="G5" i="67"/>
  <c r="F5" i="67"/>
  <c r="R5" i="66"/>
  <c r="Q5" i="66"/>
  <c r="P5" i="66"/>
  <c r="O5" i="66"/>
  <c r="N5" i="66"/>
  <c r="M5" i="66"/>
  <c r="L5" i="66"/>
  <c r="K5" i="66"/>
  <c r="J5" i="66"/>
  <c r="I5" i="66"/>
  <c r="H5" i="66"/>
  <c r="G5" i="66"/>
  <c r="F5" i="66"/>
  <c r="R5" i="58"/>
  <c r="Q5" i="58"/>
  <c r="P5" i="58"/>
  <c r="O5" i="58"/>
  <c r="N5" i="58"/>
  <c r="M5" i="58"/>
  <c r="L5" i="58"/>
  <c r="K5" i="58"/>
  <c r="J5" i="58"/>
  <c r="I5" i="58"/>
  <c r="H5" i="58"/>
  <c r="G5" i="58"/>
  <c r="F5" i="58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R5" i="61"/>
  <c r="Q5" i="61"/>
  <c r="P5" i="61"/>
  <c r="O5" i="61"/>
  <c r="N5" i="61"/>
  <c r="M5" i="61"/>
  <c r="L5" i="61"/>
  <c r="K5" i="61"/>
  <c r="J5" i="61"/>
  <c r="I5" i="61"/>
  <c r="H5" i="61"/>
  <c r="G5" i="61"/>
  <c r="F5" i="61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R5" i="64"/>
  <c r="Q5" i="64"/>
  <c r="P5" i="64"/>
  <c r="O5" i="64"/>
  <c r="N5" i="64"/>
  <c r="M5" i="64"/>
  <c r="L5" i="64"/>
  <c r="K5" i="64"/>
  <c r="J5" i="64"/>
  <c r="I5" i="64"/>
  <c r="H5" i="64"/>
  <c r="G5" i="64"/>
  <c r="F5" i="64"/>
  <c r="R5" i="57"/>
  <c r="Q5" i="57"/>
  <c r="P5" i="57"/>
  <c r="O5" i="57"/>
  <c r="N5" i="57"/>
  <c r="M5" i="57"/>
  <c r="L5" i="57"/>
  <c r="K5" i="57"/>
  <c r="J5" i="57"/>
  <c r="I5" i="57"/>
  <c r="H5" i="57"/>
  <c r="G5" i="57"/>
  <c r="F5" i="57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R5" i="60"/>
  <c r="Q5" i="60"/>
  <c r="P5" i="60"/>
  <c r="O5" i="60"/>
  <c r="N5" i="60"/>
  <c r="M5" i="60"/>
  <c r="L5" i="60"/>
  <c r="K5" i="60"/>
  <c r="J5" i="60"/>
  <c r="I5" i="60"/>
  <c r="H5" i="60"/>
  <c r="G5" i="60"/>
  <c r="F5" i="60"/>
  <c r="F5" i="54"/>
  <c r="R5" i="54"/>
  <c r="Q5" i="54"/>
  <c r="P5" i="54"/>
  <c r="O5" i="54"/>
  <c r="N5" i="54"/>
  <c r="M5" i="54"/>
  <c r="L5" i="54"/>
  <c r="K5" i="54"/>
  <c r="J5" i="54"/>
  <c r="I5" i="54"/>
  <c r="H5" i="54"/>
  <c r="G5" i="54"/>
  <c r="R5" i="70"/>
  <c r="Q5" i="70"/>
  <c r="P5" i="70"/>
  <c r="O5" i="70"/>
  <c r="N5" i="70"/>
  <c r="M5" i="70"/>
  <c r="L5" i="70"/>
  <c r="K5" i="70"/>
  <c r="J5" i="70"/>
  <c r="I5" i="70"/>
  <c r="H5" i="70"/>
  <c r="G5" i="70"/>
  <c r="F5" i="70"/>
  <c r="R5" i="55"/>
  <c r="Q5" i="55"/>
  <c r="P5" i="55"/>
  <c r="O5" i="55"/>
  <c r="N5" i="55"/>
  <c r="M5" i="55"/>
  <c r="L5" i="55"/>
  <c r="K5" i="55"/>
  <c r="J5" i="55"/>
  <c r="I5" i="55"/>
  <c r="H5" i="55"/>
  <c r="G5" i="55"/>
  <c r="F5" i="55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R4" i="68"/>
  <c r="Q4" i="68"/>
  <c r="P4" i="68"/>
  <c r="O4" i="68"/>
  <c r="N4" i="68"/>
  <c r="M4" i="68"/>
  <c r="L4" i="68"/>
  <c r="K4" i="68"/>
  <c r="J4" i="68"/>
  <c r="I4" i="68"/>
  <c r="H4" i="68"/>
  <c r="G4" i="68"/>
  <c r="F4" i="68"/>
  <c r="G6" i="59"/>
  <c r="R6" i="67"/>
  <c r="Q6" i="67"/>
  <c r="P6" i="67"/>
  <c r="O6" i="67"/>
  <c r="N6" i="67"/>
  <c r="M6" i="67"/>
  <c r="L6" i="67"/>
  <c r="K6" i="67"/>
  <c r="J6" i="67"/>
  <c r="I6" i="67"/>
  <c r="H6" i="67"/>
  <c r="G6" i="67"/>
  <c r="F6" i="67"/>
  <c r="R4" i="67"/>
  <c r="Q4" i="67"/>
  <c r="P4" i="67"/>
  <c r="O4" i="67"/>
  <c r="N4" i="67"/>
  <c r="M4" i="67"/>
  <c r="L4" i="67"/>
  <c r="K4" i="67"/>
  <c r="J4" i="67"/>
  <c r="I4" i="67"/>
  <c r="H4" i="67"/>
  <c r="G4" i="67"/>
  <c r="F4" i="67"/>
  <c r="R6" i="66"/>
  <c r="Q6" i="66"/>
  <c r="P6" i="66"/>
  <c r="O6" i="66"/>
  <c r="N6" i="66"/>
  <c r="M6" i="66"/>
  <c r="L6" i="66"/>
  <c r="K6" i="66"/>
  <c r="J6" i="66"/>
  <c r="I6" i="66"/>
  <c r="H6" i="66"/>
  <c r="G6" i="66"/>
  <c r="F6" i="66"/>
  <c r="R4" i="66"/>
  <c r="Q4" i="66"/>
  <c r="P4" i="66"/>
  <c r="O4" i="66"/>
  <c r="N4" i="66"/>
  <c r="M4" i="66"/>
  <c r="L4" i="66"/>
  <c r="K4" i="66"/>
  <c r="J4" i="66"/>
  <c r="I4" i="66"/>
  <c r="H4" i="66"/>
  <c r="G4" i="66"/>
  <c r="F4" i="66"/>
  <c r="R6" i="58"/>
  <c r="Q6" i="58"/>
  <c r="P6" i="58"/>
  <c r="O6" i="58"/>
  <c r="N6" i="58"/>
  <c r="M6" i="58"/>
  <c r="L6" i="58"/>
  <c r="K6" i="58"/>
  <c r="J6" i="58"/>
  <c r="I6" i="58"/>
  <c r="H6" i="58"/>
  <c r="G6" i="58"/>
  <c r="F6" i="58"/>
  <c r="R4" i="58"/>
  <c r="Q4" i="58"/>
  <c r="P4" i="58"/>
  <c r="O4" i="58"/>
  <c r="N4" i="58"/>
  <c r="M4" i="58"/>
  <c r="L4" i="58"/>
  <c r="K4" i="58"/>
  <c r="J4" i="58"/>
  <c r="I4" i="58"/>
  <c r="H4" i="58"/>
  <c r="G4" i="58"/>
  <c r="F4" i="58"/>
  <c r="R6" i="54"/>
  <c r="Q6" i="54"/>
  <c r="P6" i="54"/>
  <c r="O6" i="54"/>
  <c r="N6" i="54"/>
  <c r="M6" i="54"/>
  <c r="L6" i="54"/>
  <c r="K6" i="54"/>
  <c r="J6" i="54"/>
  <c r="I6" i="54"/>
  <c r="H6" i="54"/>
  <c r="F6" i="54"/>
  <c r="R4" i="54"/>
  <c r="Q4" i="54"/>
  <c r="P4" i="54"/>
  <c r="O4" i="54"/>
  <c r="N4" i="54"/>
  <c r="M4" i="54"/>
  <c r="L4" i="54"/>
  <c r="K4" i="54"/>
  <c r="J4" i="54"/>
  <c r="I4" i="54"/>
  <c r="H4" i="54"/>
  <c r="F4" i="54"/>
  <c r="R6" i="70"/>
  <c r="R4" i="70"/>
  <c r="R6" i="60"/>
  <c r="R4" i="60"/>
  <c r="R6" i="56"/>
  <c r="R4" i="56"/>
  <c r="R6" i="57"/>
  <c r="R4" i="57"/>
  <c r="R6" i="64"/>
  <c r="R4" i="64"/>
  <c r="R6" i="62"/>
  <c r="R4" i="62"/>
  <c r="R4" i="61"/>
  <c r="Q6" i="59"/>
  <c r="P6" i="59"/>
  <c r="O6" i="59"/>
  <c r="N6" i="59"/>
  <c r="M6" i="59"/>
  <c r="L6" i="59"/>
  <c r="K6" i="59"/>
  <c r="J6" i="59"/>
  <c r="I6" i="59"/>
  <c r="H6" i="59"/>
  <c r="Q4" i="59"/>
  <c r="P4" i="59"/>
  <c r="O4" i="59"/>
  <c r="N4" i="59"/>
  <c r="M4" i="59"/>
  <c r="L4" i="59"/>
  <c r="K4" i="59"/>
  <c r="J4" i="59"/>
  <c r="I4" i="59"/>
  <c r="H4" i="59"/>
  <c r="G4" i="59"/>
  <c r="R4" i="59"/>
  <c r="R6" i="59"/>
  <c r="F6" i="59"/>
  <c r="F4" i="59"/>
  <c r="R6" i="61"/>
  <c r="Q6" i="61"/>
  <c r="P6" i="61"/>
  <c r="O6" i="61"/>
  <c r="N6" i="61"/>
  <c r="M6" i="61"/>
  <c r="L6" i="61"/>
  <c r="K6" i="61"/>
  <c r="J6" i="61"/>
  <c r="I6" i="61"/>
  <c r="H6" i="61"/>
  <c r="G6" i="61"/>
  <c r="F6" i="61"/>
  <c r="Q4" i="61"/>
  <c r="P4" i="61"/>
  <c r="O4" i="61"/>
  <c r="N4" i="61"/>
  <c r="M4" i="61"/>
  <c r="L4" i="61"/>
  <c r="K4" i="61"/>
  <c r="J4" i="61"/>
  <c r="I4" i="61"/>
  <c r="H4" i="61"/>
  <c r="G4" i="61"/>
  <c r="F4" i="61"/>
  <c r="Q6" i="62"/>
  <c r="P6" i="62"/>
  <c r="O6" i="62"/>
  <c r="N6" i="62"/>
  <c r="M6" i="62"/>
  <c r="L6" i="62"/>
  <c r="K6" i="62"/>
  <c r="J6" i="62"/>
  <c r="I6" i="62"/>
  <c r="H6" i="62"/>
  <c r="G6" i="62"/>
  <c r="F6" i="62"/>
  <c r="Q4" i="62"/>
  <c r="P4" i="62"/>
  <c r="O4" i="62"/>
  <c r="N4" i="62"/>
  <c r="M4" i="62"/>
  <c r="L4" i="62"/>
  <c r="K4" i="62"/>
  <c r="J4" i="62"/>
  <c r="I4" i="62"/>
  <c r="H4" i="62"/>
  <c r="G4" i="62"/>
  <c r="F4" i="62"/>
  <c r="F6" i="64"/>
  <c r="F4" i="64"/>
  <c r="Q6" i="64"/>
  <c r="P6" i="64"/>
  <c r="O6" i="64"/>
  <c r="N6" i="64"/>
  <c r="M6" i="64"/>
  <c r="L6" i="64"/>
  <c r="K6" i="64"/>
  <c r="J6" i="64"/>
  <c r="I6" i="64"/>
  <c r="H6" i="64"/>
  <c r="G6" i="64"/>
  <c r="Q4" i="64"/>
  <c r="P4" i="64"/>
  <c r="O4" i="64"/>
  <c r="N4" i="64"/>
  <c r="M4" i="64"/>
  <c r="L4" i="64"/>
  <c r="K4" i="64"/>
  <c r="J4" i="64"/>
  <c r="I4" i="64"/>
  <c r="H4" i="64"/>
  <c r="G4" i="64"/>
  <c r="Q6" i="57"/>
  <c r="P6" i="57"/>
  <c r="O6" i="57"/>
  <c r="N6" i="57"/>
  <c r="M6" i="57"/>
  <c r="L6" i="57"/>
  <c r="K6" i="57"/>
  <c r="J6" i="57"/>
  <c r="I6" i="57"/>
  <c r="H6" i="57"/>
  <c r="G6" i="57"/>
  <c r="F6" i="57"/>
  <c r="Q4" i="57"/>
  <c r="P4" i="57"/>
  <c r="O4" i="57"/>
  <c r="N4" i="57"/>
  <c r="M4" i="57"/>
  <c r="L4" i="57"/>
  <c r="K4" i="57"/>
  <c r="J4" i="57"/>
  <c r="I4" i="57"/>
  <c r="H4" i="57"/>
  <c r="G4" i="57"/>
  <c r="F4" i="57"/>
  <c r="Q6" i="56"/>
  <c r="P6" i="56"/>
  <c r="O6" i="56"/>
  <c r="N6" i="56"/>
  <c r="M6" i="56"/>
  <c r="L6" i="56"/>
  <c r="K6" i="56"/>
  <c r="J6" i="56"/>
  <c r="I6" i="56"/>
  <c r="H6" i="56"/>
  <c r="G6" i="56"/>
  <c r="F6" i="56"/>
  <c r="Q4" i="56"/>
  <c r="P4" i="56"/>
  <c r="O4" i="56"/>
  <c r="N4" i="56"/>
  <c r="M4" i="56"/>
  <c r="L4" i="56"/>
  <c r="K4" i="56"/>
  <c r="J4" i="56"/>
  <c r="I4" i="56"/>
  <c r="H4" i="56"/>
  <c r="G4" i="56"/>
  <c r="F4" i="56"/>
  <c r="Q6" i="60"/>
  <c r="P6" i="60"/>
  <c r="O6" i="60"/>
  <c r="N6" i="60"/>
  <c r="M6" i="60"/>
  <c r="L6" i="60"/>
  <c r="K6" i="60"/>
  <c r="J6" i="60"/>
  <c r="I6" i="60"/>
  <c r="H6" i="60"/>
  <c r="G6" i="60"/>
  <c r="F6" i="60"/>
  <c r="Q4" i="60"/>
  <c r="P4" i="60"/>
  <c r="O4" i="60"/>
  <c r="N4" i="60"/>
  <c r="M4" i="60"/>
  <c r="L4" i="60"/>
  <c r="K4" i="60"/>
  <c r="J4" i="60"/>
  <c r="I4" i="60"/>
  <c r="H4" i="60"/>
  <c r="G4" i="60"/>
  <c r="F4" i="60"/>
  <c r="F4" i="70"/>
  <c r="Q6" i="70"/>
  <c r="P6" i="70"/>
  <c r="O6" i="70"/>
  <c r="N6" i="70"/>
  <c r="M6" i="70"/>
  <c r="L6" i="70"/>
  <c r="K6" i="70"/>
  <c r="J6" i="70"/>
  <c r="I6" i="70"/>
  <c r="H6" i="70"/>
  <c r="G6" i="70"/>
  <c r="F6" i="70"/>
  <c r="Q4" i="70"/>
  <c r="P4" i="70"/>
  <c r="O4" i="70"/>
  <c r="N4" i="70"/>
  <c r="M4" i="70"/>
  <c r="L4" i="70"/>
  <c r="K4" i="70"/>
  <c r="J4" i="70"/>
  <c r="I4" i="70"/>
  <c r="H4" i="70"/>
  <c r="G4" i="70"/>
  <c r="F12" i="53"/>
  <c r="F13" i="53"/>
  <c r="F16" i="53"/>
  <c r="F14" i="53"/>
  <c r="F15" i="53"/>
  <c r="P7" i="53" l="1"/>
  <c r="P5" i="53"/>
  <c r="S5" i="53"/>
  <c r="G4" i="27"/>
  <c r="H4" i="27"/>
  <c r="I4" i="27"/>
  <c r="J4" i="27"/>
  <c r="K4" i="27"/>
  <c r="L4" i="27"/>
  <c r="M4" i="27"/>
  <c r="N4" i="27"/>
  <c r="O4" i="27"/>
  <c r="P4" i="27"/>
  <c r="Q4" i="27"/>
  <c r="F6" i="27"/>
  <c r="F4" i="27"/>
  <c r="O10" i="53"/>
  <c r="K7" i="53"/>
  <c r="T7" i="53"/>
  <c r="Q6" i="63" a="1"/>
  <c r="Q6" i="63" s="1"/>
  <c r="P6" i="63" a="1"/>
  <c r="P6" i="63" s="1"/>
  <c r="O6" i="63" a="1"/>
  <c r="O6" i="63" s="1"/>
  <c r="N6" i="63" a="1"/>
  <c r="N6" i="63" s="1"/>
  <c r="M6" i="63" a="1"/>
  <c r="M6" i="63" s="1"/>
  <c r="L6" i="63" a="1"/>
  <c r="L6" i="63" s="1"/>
  <c r="K6" i="63" a="1"/>
  <c r="K6" i="63" s="1"/>
  <c r="J6" i="63" a="1"/>
  <c r="J6" i="63" s="1"/>
  <c r="I6" i="63" a="1"/>
  <c r="I6" i="63" s="1"/>
  <c r="H6" i="63" a="1"/>
  <c r="H6" i="63" s="1"/>
  <c r="G6" i="63" a="1"/>
  <c r="G6" i="63" s="1"/>
  <c r="R4" i="63" a="1"/>
  <c r="R4" i="63" s="1"/>
  <c r="T5" i="53" s="1"/>
  <c r="Q4" i="63" a="1"/>
  <c r="Q4" i="63" s="1"/>
  <c r="P4" i="63" a="1"/>
  <c r="P4" i="63" s="1"/>
  <c r="O4" i="63" a="1"/>
  <c r="O4" i="63" s="1"/>
  <c r="N4" i="63" a="1"/>
  <c r="N4" i="63" s="1"/>
  <c r="M4" i="63" a="1"/>
  <c r="M4" i="63" s="1"/>
  <c r="L4" i="63" a="1"/>
  <c r="L4" i="63" s="1"/>
  <c r="K4" i="63" a="1"/>
  <c r="K4" i="63" s="1"/>
  <c r="J4" i="63" a="1"/>
  <c r="J4" i="63" s="1"/>
  <c r="I4" i="63" a="1"/>
  <c r="I4" i="63" s="1"/>
  <c r="H4" i="63" a="1"/>
  <c r="H4" i="63" s="1"/>
  <c r="G4" i="63" a="1"/>
  <c r="G4" i="63" s="1"/>
  <c r="F4" i="63" a="1"/>
  <c r="F4" i="63" s="1"/>
  <c r="O7" i="53"/>
  <c r="O5" i="53"/>
  <c r="J7" i="53"/>
  <c r="J5" i="53"/>
  <c r="I7" i="53"/>
  <c r="I5" i="53"/>
  <c r="K5" i="53"/>
  <c r="Q7" i="53"/>
  <c r="Q5" i="53"/>
  <c r="H7" i="53"/>
  <c r="H5" i="53"/>
  <c r="G7" i="53"/>
  <c r="G5" i="53"/>
  <c r="F7" i="53"/>
  <c r="F5" i="53"/>
  <c r="S7" i="53"/>
  <c r="M7" i="53"/>
  <c r="M5" i="53"/>
  <c r="R6" i="55"/>
  <c r="L7" i="53" s="1"/>
  <c r="R4" i="55"/>
  <c r="L5" i="53" s="1"/>
  <c r="Q6" i="55"/>
  <c r="P6" i="55"/>
  <c r="O6" i="55"/>
  <c r="N6" i="55"/>
  <c r="M6" i="55"/>
  <c r="L6" i="55"/>
  <c r="K6" i="55"/>
  <c r="J6" i="55"/>
  <c r="I6" i="55"/>
  <c r="H6" i="55"/>
  <c r="G6" i="55"/>
  <c r="Q4" i="55"/>
  <c r="P4" i="55"/>
  <c r="O4" i="55"/>
  <c r="N4" i="55"/>
  <c r="M4" i="55"/>
  <c r="L4" i="55"/>
  <c r="K4" i="55"/>
  <c r="J4" i="55"/>
  <c r="I4" i="55"/>
  <c r="H4" i="55"/>
  <c r="G4" i="55"/>
  <c r="F4" i="55"/>
  <c r="F6" i="55"/>
  <c r="R4" i="27"/>
  <c r="U5" i="53" s="1"/>
  <c r="R6" i="27"/>
  <c r="U7" i="53" s="1"/>
  <c r="H6" i="27"/>
  <c r="I6" i="27"/>
  <c r="J6" i="27"/>
  <c r="K6" i="27"/>
  <c r="L6" i="27"/>
  <c r="M6" i="27"/>
  <c r="N6" i="27"/>
  <c r="O6" i="27"/>
  <c r="P6" i="27"/>
  <c r="Q6" i="27"/>
  <c r="G6" i="27"/>
  <c r="S13" i="53"/>
  <c r="S12" i="53"/>
  <c r="S11" i="53"/>
  <c r="S10" i="53"/>
  <c r="S9" i="53"/>
  <c r="S8" i="53"/>
  <c r="S6" i="53"/>
  <c r="S16" i="53"/>
  <c r="S15" i="53"/>
  <c r="S14" i="53"/>
  <c r="U12" i="53"/>
  <c r="W6" i="53"/>
  <c r="V6" i="53"/>
  <c r="W15" i="53"/>
  <c r="V15" i="53"/>
  <c r="T16" i="53"/>
  <c r="T15" i="53"/>
  <c r="T14" i="53"/>
  <c r="T6" i="53"/>
  <c r="T8" i="53"/>
  <c r="T9" i="53"/>
  <c r="T10" i="53"/>
  <c r="T11" i="53"/>
  <c r="T12" i="53"/>
  <c r="T13" i="53"/>
  <c r="U6" i="53"/>
  <c r="U8" i="53"/>
  <c r="U9" i="53"/>
  <c r="U10" i="53"/>
  <c r="U11" i="53"/>
  <c r="U13" i="53"/>
  <c r="U14" i="53"/>
  <c r="U15" i="53"/>
  <c r="U16" i="53"/>
  <c r="Q16" i="53"/>
  <c r="Q15" i="53"/>
  <c r="Q14" i="53"/>
  <c r="Q11" i="53"/>
  <c r="Q10" i="53"/>
  <c r="Q9" i="53"/>
  <c r="Q8" i="53"/>
  <c r="Q6" i="53"/>
  <c r="P15" i="53"/>
  <c r="P16" i="53"/>
  <c r="P14" i="53"/>
  <c r="P6" i="53"/>
  <c r="P8" i="53"/>
  <c r="P9" i="53"/>
  <c r="P10" i="53"/>
  <c r="P11" i="53"/>
  <c r="O15" i="53"/>
  <c r="O16" i="53"/>
  <c r="O14" i="53"/>
  <c r="O11" i="53"/>
  <c r="O6" i="53"/>
  <c r="O8" i="53"/>
  <c r="O9" i="53"/>
  <c r="M15" i="53"/>
  <c r="M16" i="53"/>
  <c r="M14" i="53"/>
  <c r="M6" i="53"/>
  <c r="M8" i="53"/>
  <c r="M9" i="53"/>
  <c r="M10" i="53"/>
  <c r="M11" i="53"/>
  <c r="M12" i="53"/>
  <c r="M13" i="53"/>
  <c r="L6" i="53"/>
  <c r="L8" i="53"/>
  <c r="L9" i="53"/>
  <c r="L10" i="53"/>
  <c r="L11" i="53"/>
  <c r="L12" i="53"/>
  <c r="L13" i="53"/>
  <c r="L14" i="53"/>
  <c r="L15" i="53"/>
  <c r="L16" i="53"/>
  <c r="K14" i="53"/>
  <c r="K15" i="53"/>
  <c r="K16" i="53"/>
  <c r="K13" i="53"/>
  <c r="K6" i="53"/>
  <c r="K8" i="53"/>
  <c r="K9" i="53"/>
  <c r="K10" i="53"/>
  <c r="K11" i="53"/>
  <c r="J16" i="53"/>
  <c r="J15" i="53"/>
  <c r="J14" i="53"/>
  <c r="J11" i="53"/>
  <c r="J6" i="53"/>
  <c r="J8" i="53"/>
  <c r="J9" i="53"/>
  <c r="J10" i="53"/>
  <c r="I6" i="53"/>
  <c r="I8" i="53"/>
  <c r="I9" i="53"/>
  <c r="I10" i="53"/>
  <c r="I11" i="53"/>
  <c r="I12" i="53"/>
  <c r="I13" i="53"/>
  <c r="I14" i="53"/>
  <c r="I15" i="53"/>
  <c r="I16" i="53"/>
  <c r="H16" i="53"/>
  <c r="H15" i="53"/>
  <c r="H14" i="53"/>
  <c r="H13" i="53"/>
  <c r="H12" i="53"/>
  <c r="H11" i="53"/>
  <c r="H10" i="53"/>
  <c r="H9" i="53"/>
  <c r="H8" i="53"/>
  <c r="H6" i="53"/>
  <c r="G16" i="53"/>
  <c r="G15" i="53"/>
  <c r="G14" i="53"/>
  <c r="G13" i="53"/>
  <c r="G12" i="53"/>
  <c r="G11" i="53"/>
  <c r="G10" i="53"/>
  <c r="G9" i="53"/>
  <c r="G8" i="53"/>
  <c r="G6" i="53"/>
  <c r="F11" i="53"/>
  <c r="F10" i="53"/>
  <c r="F9" i="53"/>
  <c r="F8" i="53"/>
  <c r="F6" i="53"/>
  <c r="D22" i="50"/>
  <c r="D21" i="50"/>
  <c r="D20" i="50"/>
  <c r="D19" i="50"/>
  <c r="F30" i="50" l="1"/>
  <c r="E30" i="50"/>
  <c r="E29" i="50"/>
  <c r="E28" i="50"/>
  <c r="E27" i="50"/>
  <c r="E26" i="50"/>
  <c r="E25" i="50"/>
  <c r="E24" i="50"/>
  <c r="E23" i="50"/>
  <c r="E22" i="50"/>
  <c r="F19" i="50"/>
  <c r="F23" i="50" l="1"/>
  <c r="F26" i="50"/>
  <c r="F24" i="50"/>
  <c r="F22" i="50"/>
  <c r="F29" i="50"/>
  <c r="F25" i="50"/>
  <c r="F20" i="50"/>
  <c r="F27" i="50"/>
  <c r="F21" i="50"/>
  <c r="F28" i="50"/>
  <c r="R16" i="40"/>
  <c r="R15" i="40"/>
  <c r="R14" i="40"/>
  <c r="R16" i="34"/>
  <c r="R15" i="34"/>
  <c r="R14" i="34"/>
  <c r="F14" i="50"/>
  <c r="F13" i="50"/>
  <c r="F12" i="50"/>
  <c r="F11" i="50"/>
  <c r="F10" i="50"/>
  <c r="F9" i="50"/>
  <c r="F8" i="50"/>
  <c r="F7" i="50"/>
  <c r="F6" i="50"/>
  <c r="F5" i="50"/>
  <c r="E14" i="50"/>
  <c r="E13" i="50"/>
  <c r="E12" i="50"/>
  <c r="E11" i="50"/>
  <c r="E10" i="50"/>
  <c r="E9" i="50"/>
  <c r="E8" i="50"/>
  <c r="E7" i="50"/>
  <c r="E6" i="50"/>
  <c r="E5" i="50"/>
  <c r="E4" i="50"/>
  <c r="F4" i="50"/>
  <c r="F3" i="50"/>
  <c r="E3" i="5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<sst xmlns="http://schemas.openxmlformats.org/spreadsheetml/2006/main" count="1466" uniqueCount="176">
  <si>
    <t>Pedidos Zé Delivery</t>
  </si>
  <si>
    <t>Pedidos mídia</t>
  </si>
  <si>
    <t>% mês</t>
  </si>
  <si>
    <t>YTD</t>
  </si>
  <si>
    <t>Considerar linha que fala de BF</t>
  </si>
  <si>
    <t>Considerar linhas que falam de Bottom Funnel</t>
  </si>
  <si>
    <t>Acompanhamento de Resultados - Midia Perf.xlsx</t>
  </si>
  <si>
    <t>ROI DASHBOARD - 2025</t>
  </si>
  <si>
    <t>PILAR</t>
  </si>
  <si>
    <t>KPI</t>
  </si>
  <si>
    <t>OWNER</t>
  </si>
  <si>
    <t>TARGET</t>
  </si>
  <si>
    <t>Brahma</t>
  </si>
  <si>
    <t>Budweiser</t>
  </si>
  <si>
    <t>Corona</t>
  </si>
  <si>
    <t>Spaten</t>
  </si>
  <si>
    <t>Stella Artois</t>
  </si>
  <si>
    <t>Skol</t>
  </si>
  <si>
    <t>Beats</t>
  </si>
  <si>
    <t>Guaraná</t>
  </si>
  <si>
    <t>Tônica</t>
  </si>
  <si>
    <t>Fusion</t>
  </si>
  <si>
    <t>Mike's</t>
  </si>
  <si>
    <t>Zé Delivery</t>
  </si>
  <si>
    <t>FY'24</t>
  </si>
  <si>
    <t>FY'23</t>
  </si>
  <si>
    <t>Audience first</t>
  </si>
  <si>
    <t>1st Party Impressions</t>
  </si>
  <si>
    <t>Monks</t>
  </si>
  <si>
    <t>22% - 32%</t>
  </si>
  <si>
    <t>NA</t>
  </si>
  <si>
    <t>Digital Assept Optimization</t>
  </si>
  <si>
    <t>Campaigns &gt; 12 weeks</t>
  </si>
  <si>
    <t>N/A</t>
  </si>
  <si>
    <t>% of videos less than 10s</t>
  </si>
  <si>
    <t>Weeks above minimum reach</t>
  </si>
  <si>
    <t>Meta</t>
  </si>
  <si>
    <t>Weekly Frequency FB (&gt;=2 e &lt;=3)</t>
  </si>
  <si>
    <t>YouTube Weekly Reach: &gt;=30% + 4 Weeks</t>
  </si>
  <si>
    <t>Google</t>
  </si>
  <si>
    <t>AI Powered Video Reach Campaign + 2 Ad formats</t>
  </si>
  <si>
    <t>Bottom Funnel</t>
  </si>
  <si>
    <t>CAC (Zé Delivery)</t>
  </si>
  <si>
    <t>CPO (Zé Delivery)</t>
  </si>
  <si>
    <t>Production</t>
  </si>
  <si>
    <t>Briefing + 1st approval on time</t>
  </si>
  <si>
    <t>Modo</t>
  </si>
  <si>
    <t>% production vs media spend (# movies &lt;20%) (TBD)</t>
  </si>
  <si>
    <t xml:space="preserve">Avoidable extra cost </t>
  </si>
  <si>
    <t>LE FY</t>
  </si>
  <si>
    <t>Bottom Funnel Priorization</t>
  </si>
  <si>
    <t>BF Squad</t>
  </si>
  <si>
    <t xml:space="preserve">% production vs media spend (# movies &lt;20%) </t>
  </si>
  <si>
    <t xml:space="preserve">% production vs media spend ($ movies &lt;20%) </t>
  </si>
  <si>
    <t>Avoidable extra cost (TBD)</t>
  </si>
  <si>
    <t>ROI DASHBOARD - 2024</t>
  </si>
  <si>
    <t>FY'22</t>
  </si>
  <si>
    <t>Media Monks</t>
  </si>
  <si>
    <t>29% - 35%</t>
  </si>
  <si>
    <t>Digital: Campaigns &gt; 8 weeks</t>
  </si>
  <si>
    <t>YouTube Weekly Reach: &gt;25% + 4 Weeks</t>
  </si>
  <si>
    <t>Ideal Mix: video 90% + display 10% (on report: Video%)</t>
  </si>
  <si>
    <t>85% - 95%</t>
  </si>
  <si>
    <t>BF squad</t>
  </si>
  <si>
    <t>Cobertura semanal</t>
  </si>
  <si>
    <t>dL Production</t>
  </si>
  <si>
    <t xml:space="preserve">% production vs media spend (# movies &lt;25%) </t>
  </si>
  <si>
    <t>% Wasted money (&lt;5%)</t>
  </si>
  <si>
    <t>Raccoon</t>
  </si>
  <si>
    <t>Digital: Campaigns &gt; 12 weeks</t>
  </si>
  <si>
    <t>x</t>
  </si>
  <si>
    <t>meta</t>
  </si>
  <si>
    <t>TT</t>
  </si>
  <si>
    <t>Beer</t>
  </si>
  <si>
    <t>Portfolio</t>
  </si>
  <si>
    <t>Investimento apenas em Bottom Funnel puxa o resultado para baixo quando não temos campanha de topo de funil rodando</t>
  </si>
  <si>
    <t>ROI DASHBOARD - 2026</t>
  </si>
  <si>
    <t>FY'25</t>
  </si>
  <si>
    <t>abr/26</t>
  </si>
  <si>
    <t>mai/26</t>
  </si>
  <si>
    <t>ago/26</t>
  </si>
  <si>
    <t>set/26</t>
  </si>
  <si>
    <t>out/26</t>
  </si>
  <si>
    <t>dez/26</t>
  </si>
  <si>
    <t>Brand</t>
  </si>
  <si>
    <t>Tipo</t>
  </si>
  <si>
    <t>Month</t>
  </si>
  <si>
    <t>YTD_MediaCost</t>
  </si>
  <si>
    <t>YTD_Target_MediaCost</t>
  </si>
  <si>
    <t>Total_MediaCost_Month</t>
  </si>
  <si>
    <t>Target_MediaCost_Month</t>
  </si>
  <si>
    <t>10s Base</t>
  </si>
  <si>
    <t>1P Base</t>
  </si>
  <si>
    <t>_month</t>
  </si>
  <si>
    <t>impressions_1p</t>
  </si>
  <si>
    <t>impressions_total</t>
  </si>
  <si>
    <t>12W</t>
  </si>
  <si>
    <t>Brutal Fruit</t>
  </si>
  <si>
    <t>Agua Tonica</t>
  </si>
  <si>
    <t>Beer / Portfolio</t>
  </si>
  <si>
    <t>Guarana Antarctica</t>
  </si>
  <si>
    <t>Skol Beats</t>
  </si>
  <si>
    <t>Chopp Brahma Express</t>
  </si>
  <si>
    <t>Guarana</t>
  </si>
  <si>
    <t>Mikes</t>
  </si>
  <si>
    <t>Tonica</t>
  </si>
  <si>
    <t>Category</t>
  </si>
  <si>
    <t>Skol + Brahma</t>
  </si>
  <si>
    <t>Mes</t>
  </si>
  <si>
    <t>Marca</t>
  </si>
  <si>
    <t>CAC</t>
  </si>
  <si>
    <t>CPO</t>
  </si>
  <si>
    <t>Outros</t>
  </si>
  <si>
    <t>Ze Delivery</t>
  </si>
  <si>
    <t>Colorado</t>
  </si>
  <si>
    <t>Orgânica</t>
  </si>
  <si>
    <t>Outras Pagas</t>
  </si>
  <si>
    <t>Patagônia</t>
  </si>
  <si>
    <t>puchase</t>
  </si>
  <si>
    <t>invest_cpo</t>
  </si>
  <si>
    <t>first_purchase</t>
  </si>
  <si>
    <t>invest_cac</t>
  </si>
  <si>
    <t>BRAND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</si>
  <si>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</si>
  <si>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</si>
  <si>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</si>
  <si>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</si>
  <si>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</si>
  <si>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</si>
  <si>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</si>
  <si>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</si>
  <si>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</si>
  <si>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</si>
  <si>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</si>
  <si>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</si>
  <si>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33.5%</t>
  </si>
  <si>
    <t>30.4%</t>
  </si>
  <si>
    <t>Institucional</t>
  </si>
  <si>
    <t>Michelob Ultra</t>
  </si>
  <si>
    <t>40.0%</t>
  </si>
  <si>
    <t>31.5%</t>
  </si>
  <si>
    <t>TOTAL PORTFOLIO</t>
  </si>
  <si>
    <t>TOTAL BEER</t>
  </si>
  <si>
    <t>34.1%</t>
  </si>
  <si>
    <t>42.3%</t>
  </si>
  <si>
    <t>38.8%</t>
  </si>
  <si>
    <t>37.6%</t>
  </si>
  <si>
    <t>26.8%</t>
  </si>
  <si>
    <t>36.0%</t>
  </si>
  <si>
    <t>28.9%</t>
  </si>
  <si>
    <t>90.3%</t>
  </si>
  <si>
    <t>47.9%</t>
  </si>
  <si>
    <t>79.9%</t>
  </si>
  <si>
    <t>68.9%</t>
  </si>
  <si>
    <t>83.6%</t>
  </si>
  <si>
    <t>65.1%</t>
  </si>
  <si>
    <t>71.7%</t>
  </si>
  <si>
    <t>58.1%</t>
  </si>
  <si>
    <t>40.7%</t>
  </si>
  <si>
    <t>43.7%</t>
  </si>
  <si>
    <t>51.6%</t>
  </si>
  <si>
    <t>24.4%</t>
  </si>
  <si>
    <t>83.0%</t>
  </si>
  <si>
    <t>72.7%</t>
  </si>
  <si>
    <t>89.7%</t>
  </si>
  <si>
    <t>85.2%</t>
  </si>
  <si>
    <t>62.8%</t>
  </si>
  <si>
    <t>68.7%</t>
  </si>
  <si>
    <t>61.5%</t>
  </si>
  <si>
    <t>44.4%</t>
  </si>
  <si>
    <t>54.5%</t>
  </si>
  <si>
    <t>52.7%</t>
  </si>
  <si>
    <t>18.2%</t>
  </si>
  <si>
    <t>Metric #1</t>
  </si>
  <si>
    <t>Metric #2</t>
  </si>
  <si>
    <t>Flying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</si>
</sst>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  <numFmt numFmtId="166" formatCode="_-* #,##0_-;\-* #,##0_-;_-* &quot;-&quot;??_-;_-@_-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Google Sans"/>
    </font>
    <font>
      <b/>
      <sz val="9"/>
      <color theme="1"/>
      <name val="Google Sans"/>
    </font>
    <font>
      <sz val="9"/>
      <color theme="1"/>
      <name val="Google Sans"/>
    </font>
    <font>
      <b/>
      <sz val="8"/>
      <color rgb="FFFFFFFF"/>
      <name val="Google Sans"/>
    </font>
    <font>
      <b/>
      <sz val="10"/>
      <color theme="1"/>
      <name val="Google Sans"/>
    </font>
    <font>
      <sz val="10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B3B3"/>
        <bgColor rgb="FF000000"/>
      </patternFill>
    </fill>
    <fill>
      <patternFill patternType="solid">
        <fgColor rgb="FFC7E1B5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AB8B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1155CC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43434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D9EAD3"/>
      </patternFill>
    </fill>
  </fills>
  <borders count="1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dotted">
        <color indexed="64"/>
      </right>
      <top style="medium">
        <color rgb="FF000000"/>
      </top>
      <bottom/>
      <diagonal/>
    </border>
    <border>
      <left style="dotted">
        <color indexed="64"/>
      </left>
      <right style="dotted">
        <color indexed="64"/>
      </right>
      <top style="medium">
        <color rgb="FF000000"/>
      </top>
      <bottom/>
      <diagonal/>
    </border>
    <border>
      <left style="dotted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hair">
        <color indexed="64"/>
      </top>
      <bottom/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/>
      <right style="dotted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ashed">
        <color rgb="FF000000"/>
      </right>
      <top style="medium">
        <color rgb="FF000000"/>
      </top>
      <bottom/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/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/>
  </cellStyleXfs>
  <cellXfs count="457">
    <xf numFmtId="0" fontId="0" fillId="0" borderId="0" xfId="0"/>
    <xf numFmtId="0" fontId="3" fillId="0" borderId="3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9" fontId="0" fillId="0" borderId="1" xfId="2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7" fontId="0" fillId="0" borderId="16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9" fontId="0" fillId="0" borderId="21" xfId="2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9" fontId="0" fillId="0" borderId="22" xfId="2" applyFont="1" applyBorder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9" fontId="0" fillId="0" borderId="30" xfId="2" applyFont="1" applyBorder="1" applyAlignment="1">
      <alignment horizontal="center" vertical="center"/>
    </xf>
    <xf numFmtId="9" fontId="0" fillId="0" borderId="31" xfId="2" applyFont="1" applyBorder="1" applyAlignment="1">
      <alignment horizontal="center" vertical="center"/>
    </xf>
    <xf numFmtId="9" fontId="0" fillId="0" borderId="32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9" fontId="0" fillId="0" borderId="34" xfId="2" applyFon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9" fontId="0" fillId="0" borderId="35" xfId="2" applyFont="1" applyBorder="1" applyAlignment="1">
      <alignment horizontal="center" vertical="center"/>
    </xf>
    <xf numFmtId="9" fontId="0" fillId="0" borderId="36" xfId="2" applyFont="1" applyBorder="1" applyAlignment="1">
      <alignment horizontal="center" vertical="center"/>
    </xf>
    <xf numFmtId="9" fontId="0" fillId="0" borderId="37" xfId="2" applyFont="1" applyBorder="1" applyAlignment="1">
      <alignment horizontal="center" vertical="center"/>
    </xf>
    <xf numFmtId="17" fontId="2" fillId="2" borderId="38" xfId="0" applyNumberFormat="1" applyFont="1" applyFill="1" applyBorder="1" applyAlignment="1">
      <alignment horizontal="center" vertical="center"/>
    </xf>
    <xf numFmtId="17" fontId="2" fillId="2" borderId="39" xfId="0" applyNumberFormat="1" applyFont="1" applyFill="1" applyBorder="1" applyAlignment="1">
      <alignment horizontal="center" vertical="center"/>
    </xf>
    <xf numFmtId="17" fontId="2" fillId="2" borderId="40" xfId="0" applyNumberFormat="1" applyFont="1" applyFill="1" applyBorder="1" applyAlignment="1">
      <alignment horizontal="center" vertical="center"/>
    </xf>
    <xf numFmtId="17" fontId="2" fillId="2" borderId="41" xfId="0" applyNumberFormat="1" applyFont="1" applyFill="1" applyBorder="1" applyAlignment="1">
      <alignment horizontal="center" vertical="center"/>
    </xf>
    <xf numFmtId="9" fontId="0" fillId="0" borderId="38" xfId="2" applyFont="1" applyBorder="1" applyAlignment="1">
      <alignment horizontal="center" vertical="center"/>
    </xf>
    <xf numFmtId="9" fontId="0" fillId="0" borderId="39" xfId="2" applyFont="1" applyBorder="1" applyAlignment="1">
      <alignment horizontal="center" vertical="center"/>
    </xf>
    <xf numFmtId="9" fontId="0" fillId="0" borderId="40" xfId="2" applyFont="1" applyBorder="1" applyAlignment="1">
      <alignment horizontal="center" vertical="center"/>
    </xf>
    <xf numFmtId="9" fontId="0" fillId="0" borderId="41" xfId="2" applyFont="1" applyBorder="1" applyAlignment="1">
      <alignment horizontal="center" vertical="center"/>
    </xf>
    <xf numFmtId="9" fontId="0" fillId="0" borderId="26" xfId="2" applyFont="1" applyBorder="1" applyAlignment="1">
      <alignment horizontal="center" vertical="center"/>
    </xf>
    <xf numFmtId="9" fontId="0" fillId="0" borderId="27" xfId="2" applyFont="1" applyBorder="1" applyAlignment="1">
      <alignment horizontal="center" vertical="center"/>
    </xf>
    <xf numFmtId="9" fontId="0" fillId="0" borderId="28" xfId="2" applyFont="1" applyBorder="1" applyAlignment="1">
      <alignment horizontal="center" vertical="center"/>
    </xf>
    <xf numFmtId="9" fontId="0" fillId="0" borderId="42" xfId="2" applyFont="1" applyBorder="1" applyAlignment="1">
      <alignment horizontal="center" vertical="center"/>
    </xf>
    <xf numFmtId="9" fontId="0" fillId="0" borderId="43" xfId="2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9" fontId="0" fillId="0" borderId="0" xfId="0" applyNumberFormat="1"/>
    <xf numFmtId="9" fontId="0" fillId="0" borderId="19" xfId="2" applyFont="1" applyBorder="1" applyAlignment="1">
      <alignment horizontal="center" vertical="center"/>
    </xf>
    <xf numFmtId="17" fontId="0" fillId="0" borderId="0" xfId="0" applyNumberFormat="1"/>
    <xf numFmtId="165" fontId="0" fillId="0" borderId="0" xfId="2" applyNumberFormat="1" applyFont="1"/>
    <xf numFmtId="166" fontId="0" fillId="0" borderId="0" xfId="3" applyNumberFormat="1" applyFont="1"/>
    <xf numFmtId="166" fontId="0" fillId="0" borderId="0" xfId="3" applyNumberFormat="1" applyFont="1" applyAlignment="1">
      <alignment horizontal="center"/>
    </xf>
    <xf numFmtId="9" fontId="0" fillId="0" borderId="5" xfId="2" applyFont="1" applyBorder="1" applyAlignment="1">
      <alignment horizontal="center" vertical="center"/>
    </xf>
    <xf numFmtId="0" fontId="7" fillId="0" borderId="0" xfId="0" applyFont="1"/>
    <xf numFmtId="9" fontId="7" fillId="0" borderId="0" xfId="0" applyNumberFormat="1" applyFont="1"/>
    <xf numFmtId="9" fontId="0" fillId="0" borderId="0" xfId="2" applyFont="1"/>
    <xf numFmtId="0" fontId="8" fillId="0" borderId="0" xfId="4"/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/>
    </xf>
    <xf numFmtId="165" fontId="0" fillId="0" borderId="19" xfId="0" applyNumberFormat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3" fillId="0" borderId="46" xfId="0" applyFont="1" applyBorder="1" applyAlignment="1">
      <alignment horizontal="left" vertical="center" indent="1"/>
    </xf>
    <xf numFmtId="0" fontId="3" fillId="0" borderId="56" xfId="0" applyFont="1" applyBorder="1" applyAlignment="1">
      <alignment horizontal="left" vertical="center" indent="1"/>
    </xf>
    <xf numFmtId="9" fontId="0" fillId="0" borderId="47" xfId="0" applyNumberFormat="1" applyBorder="1" applyAlignment="1">
      <alignment horizontal="center" vertical="center"/>
    </xf>
    <xf numFmtId="9" fontId="0" fillId="0" borderId="48" xfId="2" applyFont="1" applyBorder="1" applyAlignment="1">
      <alignment horizontal="center" vertical="center"/>
    </xf>
    <xf numFmtId="9" fontId="0" fillId="0" borderId="49" xfId="2" applyFont="1" applyBorder="1" applyAlignment="1">
      <alignment horizontal="center" vertical="center"/>
    </xf>
    <xf numFmtId="9" fontId="0" fillId="0" borderId="50" xfId="2" applyFont="1" applyBorder="1" applyAlignment="1">
      <alignment horizontal="center" vertical="center"/>
    </xf>
    <xf numFmtId="9" fontId="0" fillId="0" borderId="63" xfId="2" applyFont="1" applyBorder="1" applyAlignment="1">
      <alignment horizontal="center" vertical="center"/>
    </xf>
    <xf numFmtId="9" fontId="0" fillId="0" borderId="51" xfId="0" applyNumberFormat="1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9" fontId="0" fillId="0" borderId="54" xfId="0" applyNumberFormat="1" applyBorder="1" applyAlignment="1">
      <alignment horizontal="center" vertical="center"/>
    </xf>
    <xf numFmtId="9" fontId="0" fillId="0" borderId="64" xfId="0" applyNumberFormat="1" applyBorder="1" applyAlignment="1">
      <alignment horizontal="center" vertical="center"/>
    </xf>
    <xf numFmtId="9" fontId="0" fillId="0" borderId="65" xfId="0" applyNumberFormat="1" applyBorder="1" applyAlignment="1">
      <alignment horizontal="center" vertical="center"/>
    </xf>
    <xf numFmtId="9" fontId="0" fillId="0" borderId="57" xfId="0" applyNumberFormat="1" applyBorder="1" applyAlignment="1">
      <alignment horizontal="center" vertical="center"/>
    </xf>
    <xf numFmtId="9" fontId="0" fillId="0" borderId="58" xfId="2" applyFont="1" applyBorder="1" applyAlignment="1">
      <alignment horizontal="center" vertical="center"/>
    </xf>
    <xf numFmtId="9" fontId="0" fillId="0" borderId="59" xfId="2" applyFont="1" applyBorder="1" applyAlignment="1">
      <alignment horizontal="center" vertical="center"/>
    </xf>
    <xf numFmtId="9" fontId="0" fillId="0" borderId="60" xfId="2" applyFont="1" applyBorder="1" applyAlignment="1">
      <alignment horizontal="center" vertical="center"/>
    </xf>
    <xf numFmtId="9" fontId="0" fillId="0" borderId="66" xfId="2" applyFont="1" applyBorder="1" applyAlignment="1">
      <alignment horizontal="center" vertical="center"/>
    </xf>
    <xf numFmtId="9" fontId="0" fillId="0" borderId="61" xfId="0" applyNumberFormat="1" applyBorder="1" applyAlignment="1">
      <alignment horizontal="center" vertical="center"/>
    </xf>
    <xf numFmtId="9" fontId="0" fillId="0" borderId="62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11" borderId="7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12" borderId="76" xfId="0" applyFont="1" applyFill="1" applyBorder="1" applyAlignment="1">
      <alignment horizontal="center" vertical="center" wrapText="1"/>
    </xf>
    <xf numFmtId="0" fontId="14" fillId="12" borderId="90" xfId="0" applyFont="1" applyFill="1" applyBorder="1" applyAlignment="1">
      <alignment horizontal="center" vertical="center" wrapText="1"/>
    </xf>
    <xf numFmtId="0" fontId="14" fillId="12" borderId="75" xfId="0" applyFont="1" applyFill="1" applyBorder="1" applyAlignment="1">
      <alignment horizontal="center" vertical="center" wrapText="1"/>
    </xf>
    <xf numFmtId="0" fontId="14" fillId="12" borderId="8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11" fillId="10" borderId="72" xfId="0" applyNumberFormat="1" applyFont="1" applyFill="1" applyBorder="1" applyAlignment="1">
      <alignment horizontal="center" vertical="center"/>
    </xf>
    <xf numFmtId="9" fontId="11" fillId="10" borderId="73" xfId="0" applyNumberFormat="1" applyFont="1" applyFill="1" applyBorder="1" applyAlignment="1">
      <alignment horizontal="center" vertical="center"/>
    </xf>
    <xf numFmtId="9" fontId="11" fillId="9" borderId="73" xfId="0" applyNumberFormat="1" applyFont="1" applyFill="1" applyBorder="1" applyAlignment="1">
      <alignment horizontal="center" vertical="center"/>
    </xf>
    <xf numFmtId="0" fontId="11" fillId="8" borderId="40" xfId="0" applyFont="1" applyFill="1" applyBorder="1" applyAlignment="1">
      <alignment horizontal="center" vertical="center"/>
    </xf>
    <xf numFmtId="9" fontId="11" fillId="0" borderId="1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9" fontId="11" fillId="10" borderId="75" xfId="0" applyNumberFormat="1" applyFont="1" applyFill="1" applyBorder="1" applyAlignment="1">
      <alignment horizontal="center" vertical="center"/>
    </xf>
    <xf numFmtId="9" fontId="11" fillId="9" borderId="75" xfId="0" applyNumberFormat="1" applyFont="1" applyFill="1" applyBorder="1" applyAlignment="1">
      <alignment horizontal="center" vertical="center"/>
    </xf>
    <xf numFmtId="9" fontId="11" fillId="10" borderId="28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9" fontId="11" fillId="0" borderId="2" xfId="0" applyNumberFormat="1" applyFont="1" applyBorder="1" applyAlignment="1">
      <alignment horizontal="center" vertical="center"/>
    </xf>
    <xf numFmtId="9" fontId="11" fillId="10" borderId="78" xfId="0" applyNumberFormat="1" applyFont="1" applyFill="1" applyBorder="1" applyAlignment="1">
      <alignment horizontal="center" vertical="center"/>
    </xf>
    <xf numFmtId="9" fontId="11" fillId="9" borderId="78" xfId="0" applyNumberFormat="1" applyFont="1" applyFill="1" applyBorder="1" applyAlignment="1">
      <alignment horizontal="center" vertical="center"/>
    </xf>
    <xf numFmtId="9" fontId="11" fillId="9" borderId="77" xfId="0" applyNumberFormat="1" applyFont="1" applyFill="1" applyBorder="1" applyAlignment="1">
      <alignment horizontal="center" vertical="center"/>
    </xf>
    <xf numFmtId="0" fontId="11" fillId="8" borderId="34" xfId="0" applyFont="1" applyFill="1" applyBorder="1" applyAlignment="1">
      <alignment horizontal="center" vertical="center"/>
    </xf>
    <xf numFmtId="9" fontId="11" fillId="0" borderId="16" xfId="0" applyNumberFormat="1" applyFont="1" applyBorder="1" applyAlignment="1">
      <alignment horizontal="center" vertical="center"/>
    </xf>
    <xf numFmtId="9" fontId="11" fillId="0" borderId="8" xfId="0" applyNumberFormat="1" applyFont="1" applyBorder="1" applyAlignment="1">
      <alignment horizontal="center" vertical="center"/>
    </xf>
    <xf numFmtId="9" fontId="11" fillId="9" borderId="80" xfId="0" applyNumberFormat="1" applyFont="1" applyFill="1" applyBorder="1" applyAlignment="1">
      <alignment horizontal="center" vertical="center"/>
    </xf>
    <xf numFmtId="9" fontId="11" fillId="10" borderId="80" xfId="0" applyNumberFormat="1" applyFont="1" applyFill="1" applyBorder="1" applyAlignment="1">
      <alignment horizontal="center" vertical="center"/>
    </xf>
    <xf numFmtId="9" fontId="11" fillId="9" borderId="79" xfId="0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9" fontId="11" fillId="0" borderId="17" xfId="0" applyNumberFormat="1" applyFont="1" applyBorder="1" applyAlignment="1">
      <alignment horizontal="center" vertical="center"/>
    </xf>
    <xf numFmtId="9" fontId="11" fillId="0" borderId="9" xfId="0" applyNumberFormat="1" applyFont="1" applyBorder="1" applyAlignment="1">
      <alignment horizontal="center" vertical="center"/>
    </xf>
    <xf numFmtId="9" fontId="11" fillId="0" borderId="18" xfId="0" applyNumberFormat="1" applyFont="1" applyBorder="1" applyAlignment="1">
      <alignment horizontal="center" vertical="center"/>
    </xf>
    <xf numFmtId="9" fontId="11" fillId="9" borderId="82" xfId="0" applyNumberFormat="1" applyFont="1" applyFill="1" applyBorder="1" applyAlignment="1">
      <alignment horizontal="center" vertical="center"/>
    </xf>
    <xf numFmtId="9" fontId="11" fillId="10" borderId="82" xfId="0" applyNumberFormat="1" applyFont="1" applyFill="1" applyBorder="1" applyAlignment="1">
      <alignment horizontal="center" vertical="center"/>
    </xf>
    <xf numFmtId="9" fontId="11" fillId="10" borderId="83" xfId="0" applyNumberFormat="1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9" fontId="11" fillId="10" borderId="81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8" fontId="11" fillId="10" borderId="84" xfId="0" applyNumberFormat="1" applyFont="1" applyFill="1" applyBorder="1" applyAlignment="1">
      <alignment horizontal="center" vertical="center"/>
    </xf>
    <xf numFmtId="8" fontId="11" fillId="10" borderId="85" xfId="0" applyNumberFormat="1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8" fontId="11" fillId="0" borderId="16" xfId="0" applyNumberFormat="1" applyFont="1" applyBorder="1" applyAlignment="1">
      <alignment horizontal="center" vertical="center"/>
    </xf>
    <xf numFmtId="8" fontId="11" fillId="10" borderId="8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9" fontId="11" fillId="0" borderId="7" xfId="0" applyNumberFormat="1" applyFont="1" applyBorder="1" applyAlignment="1">
      <alignment horizontal="center" vertical="center"/>
    </xf>
    <xf numFmtId="9" fontId="11" fillId="10" borderId="30" xfId="0" applyNumberFormat="1" applyFont="1" applyFill="1" applyBorder="1" applyAlignment="1">
      <alignment horizontal="center" vertical="center"/>
    </xf>
    <xf numFmtId="10" fontId="11" fillId="10" borderId="91" xfId="0" applyNumberFormat="1" applyFont="1" applyFill="1" applyBorder="1" applyAlignment="1">
      <alignment horizontal="center" vertical="center"/>
    </xf>
    <xf numFmtId="10" fontId="11" fillId="10" borderId="89" xfId="0" applyNumberFormat="1" applyFont="1" applyFill="1" applyBorder="1" applyAlignment="1">
      <alignment horizontal="center" vertical="center"/>
    </xf>
    <xf numFmtId="10" fontId="11" fillId="9" borderId="89" xfId="0" applyNumberFormat="1" applyFont="1" applyFill="1" applyBorder="1" applyAlignment="1">
      <alignment horizontal="center" vertical="center"/>
    </xf>
    <xf numFmtId="9" fontId="11" fillId="9" borderId="90" xfId="0" applyNumberFormat="1" applyFont="1" applyFill="1" applyBorder="1" applyAlignment="1">
      <alignment horizontal="center" vertical="center"/>
    </xf>
    <xf numFmtId="0" fontId="11" fillId="8" borderId="37" xfId="0" applyFont="1" applyFill="1" applyBorder="1" applyAlignment="1">
      <alignment horizontal="center" vertical="center"/>
    </xf>
    <xf numFmtId="17" fontId="14" fillId="12" borderId="38" xfId="0" applyNumberFormat="1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9" fontId="11" fillId="10" borderId="40" xfId="0" applyNumberFormat="1" applyFont="1" applyFill="1" applyBorder="1" applyAlignment="1">
      <alignment horizontal="center" vertical="center"/>
    </xf>
    <xf numFmtId="9" fontId="11" fillId="0" borderId="5" xfId="0" applyNumberFormat="1" applyFont="1" applyBorder="1" applyAlignment="1">
      <alignment horizontal="center" vertical="center"/>
    </xf>
    <xf numFmtId="9" fontId="11" fillId="9" borderId="28" xfId="0" applyNumberFormat="1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9" fontId="11" fillId="9" borderId="34" xfId="0" applyNumberFormat="1" applyFont="1" applyFill="1" applyBorder="1" applyAlignment="1">
      <alignment horizontal="center" vertical="center"/>
    </xf>
    <xf numFmtId="9" fontId="11" fillId="0" borderId="12" xfId="0" applyNumberFormat="1" applyFont="1" applyBorder="1" applyAlignment="1">
      <alignment horizontal="center" vertical="center"/>
    </xf>
    <xf numFmtId="9" fontId="11" fillId="0" borderId="13" xfId="0" applyNumberFormat="1" applyFont="1" applyBorder="1" applyAlignment="1">
      <alignment horizontal="center" vertical="center"/>
    </xf>
    <xf numFmtId="0" fontId="11" fillId="8" borderId="51" xfId="0" applyFont="1" applyFill="1" applyBorder="1" applyAlignment="1">
      <alignment horizontal="center" vertical="center"/>
    </xf>
    <xf numFmtId="8" fontId="11" fillId="0" borderId="51" xfId="0" applyNumberFormat="1" applyFont="1" applyBorder="1" applyAlignment="1">
      <alignment horizontal="center" vertical="center"/>
    </xf>
    <xf numFmtId="8" fontId="11" fillId="0" borderId="52" xfId="0" applyNumberFormat="1" applyFont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60" xfId="0" applyFont="1" applyFill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9" fontId="11" fillId="9" borderId="30" xfId="0" applyNumberFormat="1" applyFont="1" applyFill="1" applyBorder="1" applyAlignment="1">
      <alignment horizontal="center" vertical="center"/>
    </xf>
    <xf numFmtId="9" fontId="11" fillId="0" borderId="14" xfId="0" applyNumberFormat="1" applyFont="1" applyBorder="1" applyAlignment="1">
      <alignment horizontal="center" vertical="center"/>
    </xf>
    <xf numFmtId="0" fontId="11" fillId="8" borderId="56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9" fontId="11" fillId="0" borderId="10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8" fontId="11" fillId="0" borderId="47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6" fillId="14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1" fillId="10" borderId="50" xfId="0" applyNumberFormat="1" applyFont="1" applyFill="1" applyBorder="1" applyAlignment="1">
      <alignment horizontal="center" vertical="center"/>
    </xf>
    <xf numFmtId="9" fontId="11" fillId="0" borderId="51" xfId="0" applyNumberFormat="1" applyFont="1" applyBorder="1" applyAlignment="1">
      <alignment horizontal="center" vertical="center"/>
    </xf>
    <xf numFmtId="9" fontId="11" fillId="0" borderId="52" xfId="0" applyNumberFormat="1" applyFont="1" applyBorder="1" applyAlignment="1">
      <alignment horizontal="center" vertical="center"/>
    </xf>
    <xf numFmtId="9" fontId="11" fillId="0" borderId="54" xfId="0" applyNumberFormat="1" applyFont="1" applyBorder="1" applyAlignment="1">
      <alignment horizontal="center" vertical="center"/>
    </xf>
    <xf numFmtId="9" fontId="11" fillId="0" borderId="64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9" fontId="11" fillId="0" borderId="65" xfId="0" applyNumberFormat="1" applyFont="1" applyBorder="1" applyAlignment="1">
      <alignment horizontal="center" vertical="center"/>
    </xf>
    <xf numFmtId="9" fontId="11" fillId="10" borderId="16" xfId="0" applyNumberFormat="1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8" fontId="11" fillId="0" borderId="61" xfId="0" applyNumberFormat="1" applyFont="1" applyBorder="1" applyAlignment="1">
      <alignment horizontal="center" vertical="center"/>
    </xf>
    <xf numFmtId="0" fontId="18" fillId="0" borderId="0" xfId="0" applyFont="1"/>
    <xf numFmtId="9" fontId="11" fillId="0" borderId="0" xfId="0" applyNumberFormat="1" applyFont="1"/>
    <xf numFmtId="0" fontId="3" fillId="0" borderId="7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9" fontId="11" fillId="0" borderId="40" xfId="0" applyNumberFormat="1" applyFont="1" applyBorder="1" applyAlignment="1">
      <alignment horizontal="center" vertical="center"/>
    </xf>
    <xf numFmtId="9" fontId="11" fillId="10" borderId="74" xfId="0" applyNumberFormat="1" applyFont="1" applyFill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9" fontId="11" fillId="0" borderId="30" xfId="0" applyNumberFormat="1" applyFont="1" applyBorder="1" applyAlignment="1">
      <alignment horizontal="center" vertical="center"/>
    </xf>
    <xf numFmtId="9" fontId="11" fillId="10" borderId="87" xfId="0" applyNumberFormat="1" applyFont="1" applyFill="1" applyBorder="1" applyAlignment="1">
      <alignment horizontal="center" vertical="center"/>
    </xf>
    <xf numFmtId="9" fontId="11" fillId="10" borderId="88" xfId="0" applyNumberFormat="1" applyFont="1" applyFill="1" applyBorder="1" applyAlignment="1">
      <alignment horizontal="center" vertical="center"/>
    </xf>
    <xf numFmtId="9" fontId="11" fillId="18" borderId="88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8" fontId="11" fillId="9" borderId="46" xfId="0" applyNumberFormat="1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4" fillId="12" borderId="38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1" fillId="8" borderId="106" xfId="0" applyFont="1" applyFill="1" applyBorder="1" applyAlignment="1">
      <alignment horizontal="center" vertical="center"/>
    </xf>
    <xf numFmtId="9" fontId="11" fillId="0" borderId="19" xfId="0" applyNumberFormat="1" applyFont="1" applyBorder="1" applyAlignment="1">
      <alignment horizontal="center" vertical="center"/>
    </xf>
    <xf numFmtId="9" fontId="11" fillId="20" borderId="38" xfId="0" applyNumberFormat="1" applyFont="1" applyFill="1" applyBorder="1" applyAlignment="1">
      <alignment horizontal="center" vertical="center"/>
    </xf>
    <xf numFmtId="9" fontId="11" fillId="20" borderId="39" xfId="0" applyNumberFormat="1" applyFont="1" applyFill="1" applyBorder="1" applyAlignment="1">
      <alignment horizontal="center" vertical="center"/>
    </xf>
    <xf numFmtId="9" fontId="11" fillId="20" borderId="40" xfId="0" applyNumberFormat="1" applyFont="1" applyFill="1" applyBorder="1" applyAlignment="1">
      <alignment horizontal="center" vertical="center"/>
    </xf>
    <xf numFmtId="9" fontId="11" fillId="20" borderId="41" xfId="0" applyNumberFormat="1" applyFont="1" applyFill="1" applyBorder="1" applyAlignment="1">
      <alignment horizontal="center" vertical="center"/>
    </xf>
    <xf numFmtId="9" fontId="11" fillId="20" borderId="26" xfId="0" applyNumberFormat="1" applyFont="1" applyFill="1" applyBorder="1" applyAlignment="1">
      <alignment horizontal="center" vertical="center"/>
    </xf>
    <xf numFmtId="9" fontId="11" fillId="20" borderId="27" xfId="0" applyNumberFormat="1" applyFont="1" applyFill="1" applyBorder="1" applyAlignment="1">
      <alignment horizontal="center" vertical="center"/>
    </xf>
    <xf numFmtId="9" fontId="11" fillId="20" borderId="28" xfId="0" applyNumberFormat="1" applyFont="1" applyFill="1" applyBorder="1" applyAlignment="1">
      <alignment horizontal="center" vertical="center"/>
    </xf>
    <xf numFmtId="9" fontId="11" fillId="20" borderId="33" xfId="0" applyNumberFormat="1" applyFont="1" applyFill="1" applyBorder="1" applyAlignment="1">
      <alignment horizontal="center" vertical="center"/>
    </xf>
    <xf numFmtId="9" fontId="11" fillId="20" borderId="22" xfId="0" applyNumberFormat="1" applyFont="1" applyFill="1" applyBorder="1" applyAlignment="1">
      <alignment horizontal="center" vertical="center"/>
    </xf>
    <xf numFmtId="9" fontId="11" fillId="20" borderId="34" xfId="0" applyNumberFormat="1" applyFont="1" applyFill="1" applyBorder="1" applyAlignment="1">
      <alignment horizontal="center" vertical="center"/>
    </xf>
    <xf numFmtId="9" fontId="11" fillId="20" borderId="29" xfId="0" applyNumberFormat="1" applyFont="1" applyFill="1" applyBorder="1" applyAlignment="1">
      <alignment horizontal="center" vertical="center"/>
    </xf>
    <xf numFmtId="9" fontId="11" fillId="20" borderId="21" xfId="0" applyNumberFormat="1" applyFont="1" applyFill="1" applyBorder="1" applyAlignment="1">
      <alignment horizontal="center" vertical="center"/>
    </xf>
    <xf numFmtId="0" fontId="11" fillId="20" borderId="34" xfId="0" applyFont="1" applyFill="1" applyBorder="1" applyAlignment="1">
      <alignment horizontal="center" vertical="center"/>
    </xf>
    <xf numFmtId="0" fontId="11" fillId="20" borderId="31" xfId="0" applyFont="1" applyFill="1" applyBorder="1" applyAlignment="1">
      <alignment horizontal="center" vertical="center"/>
    </xf>
    <xf numFmtId="0" fontId="11" fillId="20" borderId="20" xfId="0" applyFont="1" applyFill="1" applyBorder="1" applyAlignment="1">
      <alignment horizontal="center" vertical="center"/>
    </xf>
    <xf numFmtId="0" fontId="11" fillId="20" borderId="32" xfId="0" applyFont="1" applyFill="1" applyBorder="1" applyAlignment="1">
      <alignment horizontal="center" vertical="center"/>
    </xf>
    <xf numFmtId="0" fontId="11" fillId="20" borderId="70" xfId="0" applyFont="1" applyFill="1" applyBorder="1" applyAlignment="1">
      <alignment horizontal="center" vertical="center"/>
    </xf>
    <xf numFmtId="0" fontId="11" fillId="20" borderId="69" xfId="0" applyFont="1" applyFill="1" applyBorder="1" applyAlignment="1">
      <alignment horizontal="center" vertical="center"/>
    </xf>
    <xf numFmtId="9" fontId="11" fillId="20" borderId="71" xfId="0" applyNumberFormat="1" applyFont="1" applyFill="1" applyBorder="1" applyAlignment="1">
      <alignment horizontal="center" vertical="center"/>
    </xf>
    <xf numFmtId="9" fontId="11" fillId="20" borderId="68" xfId="0" applyNumberFormat="1" applyFont="1" applyFill="1" applyBorder="1" applyAlignment="1">
      <alignment horizontal="center" vertical="center"/>
    </xf>
    <xf numFmtId="9" fontId="11" fillId="20" borderId="34" xfId="0" applyNumberFormat="1" applyFont="1" applyFill="1" applyBorder="1" applyAlignment="1">
      <alignment horizontal="center"/>
    </xf>
    <xf numFmtId="9" fontId="11" fillId="20" borderId="105" xfId="0" applyNumberFormat="1" applyFont="1" applyFill="1" applyBorder="1" applyAlignment="1">
      <alignment horizontal="center" vertical="center"/>
    </xf>
    <xf numFmtId="9" fontId="11" fillId="20" borderId="30" xfId="0" applyNumberFormat="1" applyFont="1" applyFill="1" applyBorder="1" applyAlignment="1">
      <alignment horizontal="center" vertical="center"/>
    </xf>
    <xf numFmtId="9" fontId="11" fillId="20" borderId="30" xfId="0" applyNumberFormat="1" applyFont="1" applyFill="1" applyBorder="1" applyAlignment="1">
      <alignment horizontal="center"/>
    </xf>
    <xf numFmtId="9" fontId="11" fillId="20" borderId="32" xfId="0" applyNumberFormat="1" applyFont="1" applyFill="1" applyBorder="1" applyAlignment="1">
      <alignment horizontal="center" vertical="center"/>
    </xf>
    <xf numFmtId="0" fontId="11" fillId="20" borderId="30" xfId="0" applyFont="1" applyFill="1" applyBorder="1" applyAlignment="1">
      <alignment horizontal="center" vertical="center"/>
    </xf>
    <xf numFmtId="9" fontId="11" fillId="20" borderId="58" xfId="0" applyNumberFormat="1" applyFont="1" applyFill="1" applyBorder="1" applyAlignment="1">
      <alignment horizontal="center" vertical="center"/>
    </xf>
    <xf numFmtId="9" fontId="11" fillId="20" borderId="59" xfId="0" applyNumberFormat="1" applyFont="1" applyFill="1" applyBorder="1" applyAlignment="1">
      <alignment horizontal="center" vertical="center"/>
    </xf>
    <xf numFmtId="9" fontId="11" fillId="20" borderId="60" xfId="0" applyNumberFormat="1" applyFont="1" applyFill="1" applyBorder="1" applyAlignment="1">
      <alignment horizontal="center" vertical="center"/>
    </xf>
    <xf numFmtId="8" fontId="11" fillId="20" borderId="50" xfId="0" applyNumberFormat="1" applyFont="1" applyFill="1" applyBorder="1" applyAlignment="1">
      <alignment horizontal="center" vertical="center"/>
    </xf>
    <xf numFmtId="8" fontId="11" fillId="20" borderId="48" xfId="0" applyNumberFormat="1" applyFont="1" applyFill="1" applyBorder="1" applyAlignment="1">
      <alignment horizontal="center" vertical="center"/>
    </xf>
    <xf numFmtId="8" fontId="11" fillId="20" borderId="49" xfId="0" applyNumberFormat="1" applyFont="1" applyFill="1" applyBorder="1" applyAlignment="1">
      <alignment horizontal="center" vertical="center"/>
    </xf>
    <xf numFmtId="0" fontId="11" fillId="20" borderId="49" xfId="0" applyFont="1" applyFill="1" applyBorder="1" applyAlignment="1">
      <alignment horizontal="center" vertical="center"/>
    </xf>
    <xf numFmtId="0" fontId="11" fillId="20" borderId="50" xfId="0" applyFont="1" applyFill="1" applyBorder="1" applyAlignment="1">
      <alignment horizontal="center" vertical="center"/>
    </xf>
    <xf numFmtId="8" fontId="11" fillId="20" borderId="46" xfId="0" applyNumberFormat="1" applyFont="1" applyFill="1" applyBorder="1" applyAlignment="1">
      <alignment horizontal="center" vertical="center"/>
    </xf>
    <xf numFmtId="8" fontId="11" fillId="20" borderId="30" xfId="0" applyNumberFormat="1" applyFont="1" applyFill="1" applyBorder="1" applyAlignment="1">
      <alignment horizontal="center" vertical="center"/>
    </xf>
    <xf numFmtId="8" fontId="11" fillId="20" borderId="29" xfId="0" applyNumberFormat="1" applyFont="1" applyFill="1" applyBorder="1" applyAlignment="1">
      <alignment horizontal="center" vertical="center"/>
    </xf>
    <xf numFmtId="8" fontId="11" fillId="20" borderId="21" xfId="0" applyNumberFormat="1" applyFont="1" applyFill="1" applyBorder="1" applyAlignment="1">
      <alignment horizontal="center" vertical="center"/>
    </xf>
    <xf numFmtId="0" fontId="11" fillId="20" borderId="21" xfId="0" applyFont="1" applyFill="1" applyBorder="1" applyAlignment="1">
      <alignment horizontal="center" vertical="center"/>
    </xf>
    <xf numFmtId="8" fontId="11" fillId="20" borderId="2" xfId="0" applyNumberFormat="1" applyFont="1" applyFill="1" applyBorder="1" applyAlignment="1">
      <alignment horizontal="center" vertical="center"/>
    </xf>
    <xf numFmtId="8" fontId="11" fillId="20" borderId="60" xfId="0" applyNumberFormat="1" applyFont="1" applyFill="1" applyBorder="1" applyAlignment="1">
      <alignment horizontal="center" vertical="center"/>
    </xf>
    <xf numFmtId="8" fontId="11" fillId="20" borderId="58" xfId="0" applyNumberFormat="1" applyFont="1" applyFill="1" applyBorder="1" applyAlignment="1">
      <alignment horizontal="center" vertical="center"/>
    </xf>
    <xf numFmtId="8" fontId="11" fillId="20" borderId="59" xfId="0" applyNumberFormat="1" applyFont="1" applyFill="1" applyBorder="1" applyAlignment="1">
      <alignment horizontal="center" vertical="center"/>
    </xf>
    <xf numFmtId="0" fontId="11" fillId="20" borderId="59" xfId="0" applyFont="1" applyFill="1" applyBorder="1" applyAlignment="1">
      <alignment horizontal="center" vertical="center"/>
    </xf>
    <xf numFmtId="0" fontId="11" fillId="20" borderId="60" xfId="0" applyFont="1" applyFill="1" applyBorder="1" applyAlignment="1">
      <alignment horizontal="center" vertical="center"/>
    </xf>
    <xf numFmtId="8" fontId="11" fillId="20" borderId="56" xfId="0" applyNumberFormat="1" applyFont="1" applyFill="1" applyBorder="1" applyAlignment="1">
      <alignment horizontal="center" vertical="center"/>
    </xf>
    <xf numFmtId="9" fontId="11" fillId="20" borderId="93" xfId="0" applyNumberFormat="1" applyFont="1" applyFill="1" applyBorder="1" applyAlignment="1">
      <alignment horizontal="center" vertical="center"/>
    </xf>
    <xf numFmtId="9" fontId="11" fillId="20" borderId="94" xfId="0" applyNumberFormat="1" applyFont="1" applyFill="1" applyBorder="1" applyAlignment="1">
      <alignment horizontal="center" vertical="center"/>
    </xf>
    <xf numFmtId="9" fontId="11" fillId="20" borderId="95" xfId="0" applyNumberFormat="1" applyFont="1" applyFill="1" applyBorder="1" applyAlignment="1">
      <alignment horizontal="center" vertical="center"/>
    </xf>
    <xf numFmtId="9" fontId="11" fillId="20" borderId="24" xfId="0" applyNumberFormat="1" applyFont="1" applyFill="1" applyBorder="1" applyAlignment="1">
      <alignment horizontal="center" vertical="center"/>
    </xf>
    <xf numFmtId="9" fontId="11" fillId="20" borderId="96" xfId="0" applyNumberFormat="1" applyFont="1" applyFill="1" applyBorder="1" applyAlignment="1">
      <alignment horizontal="center" vertical="center"/>
    </xf>
    <xf numFmtId="9" fontId="11" fillId="20" borderId="97" xfId="0" applyNumberFormat="1" applyFont="1" applyFill="1" applyBorder="1" applyAlignment="1">
      <alignment horizontal="center" vertical="center"/>
    </xf>
    <xf numFmtId="9" fontId="11" fillId="20" borderId="98" xfId="0" applyNumberFormat="1" applyFont="1" applyFill="1" applyBorder="1" applyAlignment="1">
      <alignment horizontal="center" vertical="center"/>
    </xf>
    <xf numFmtId="0" fontId="11" fillId="20" borderId="99" xfId="0" applyFont="1" applyFill="1" applyBorder="1" applyAlignment="1">
      <alignment horizontal="center" vertical="center"/>
    </xf>
    <xf numFmtId="0" fontId="11" fillId="20" borderId="100" xfId="0" applyFont="1" applyFill="1" applyBorder="1" applyAlignment="1">
      <alignment horizontal="center" vertical="center"/>
    </xf>
    <xf numFmtId="0" fontId="11" fillId="20" borderId="101" xfId="0" applyFont="1" applyFill="1" applyBorder="1" applyAlignment="1">
      <alignment horizontal="center" vertical="center"/>
    </xf>
    <xf numFmtId="10" fontId="11" fillId="20" borderId="43" xfId="0" applyNumberFormat="1" applyFont="1" applyFill="1" applyBorder="1" applyAlignment="1">
      <alignment horizontal="center" vertical="center"/>
    </xf>
    <xf numFmtId="10" fontId="11" fillId="20" borderId="36" xfId="0" applyNumberFormat="1" applyFont="1" applyFill="1" applyBorder="1" applyAlignment="1">
      <alignment horizontal="center" vertical="center"/>
    </xf>
    <xf numFmtId="10" fontId="11" fillId="20" borderId="37" xfId="0" applyNumberFormat="1" applyFont="1" applyFill="1" applyBorder="1" applyAlignment="1">
      <alignment horizontal="center" vertical="center"/>
    </xf>
    <xf numFmtId="9" fontId="11" fillId="20" borderId="43" xfId="0" applyNumberFormat="1" applyFont="1" applyFill="1" applyBorder="1" applyAlignment="1">
      <alignment horizontal="center" vertical="center"/>
    </xf>
    <xf numFmtId="0" fontId="11" fillId="20" borderId="37" xfId="0" applyFont="1" applyFill="1" applyBorder="1" applyAlignment="1">
      <alignment horizontal="center" vertical="center"/>
    </xf>
    <xf numFmtId="9" fontId="11" fillId="19" borderId="40" xfId="0" applyNumberFormat="1" applyFont="1" applyFill="1" applyBorder="1" applyAlignment="1">
      <alignment horizontal="center" vertical="center"/>
    </xf>
    <xf numFmtId="0" fontId="3" fillId="19" borderId="32" xfId="0" applyFont="1" applyFill="1" applyBorder="1" applyAlignment="1">
      <alignment horizontal="center" vertical="center"/>
    </xf>
    <xf numFmtId="9" fontId="11" fillId="19" borderId="30" xfId="0" applyNumberFormat="1" applyFont="1" applyFill="1" applyBorder="1" applyAlignment="1">
      <alignment horizontal="center" vertical="center"/>
    </xf>
    <xf numFmtId="0" fontId="3" fillId="19" borderId="30" xfId="0" applyFont="1" applyFill="1" applyBorder="1" applyAlignment="1">
      <alignment horizontal="center" vertical="center"/>
    </xf>
    <xf numFmtId="0" fontId="3" fillId="19" borderId="37" xfId="0" applyFont="1" applyFill="1" applyBorder="1" applyAlignment="1">
      <alignment horizontal="center" vertical="center"/>
    </xf>
    <xf numFmtId="0" fontId="11" fillId="20" borderId="36" xfId="0" applyFont="1" applyFill="1" applyBorder="1" applyAlignment="1">
      <alignment horizontal="center" vertical="center"/>
    </xf>
    <xf numFmtId="10" fontId="11" fillId="0" borderId="19" xfId="0" applyNumberFormat="1" applyFont="1" applyBorder="1" applyAlignment="1">
      <alignment horizontal="center" vertical="center"/>
    </xf>
    <xf numFmtId="9" fontId="11" fillId="0" borderId="61" xfId="0" applyNumberFormat="1" applyFont="1" applyBorder="1" applyAlignment="1">
      <alignment horizontal="center" vertical="center"/>
    </xf>
    <xf numFmtId="9" fontId="11" fillId="20" borderId="35" xfId="0" applyNumberFormat="1" applyFont="1" applyFill="1" applyBorder="1" applyAlignment="1">
      <alignment horizontal="center" vertical="center"/>
    </xf>
    <xf numFmtId="9" fontId="11" fillId="20" borderId="36" xfId="0" applyNumberFormat="1" applyFont="1" applyFill="1" applyBorder="1" applyAlignment="1">
      <alignment horizontal="center" vertical="center"/>
    </xf>
    <xf numFmtId="9" fontId="11" fillId="20" borderId="37" xfId="0" applyNumberFormat="1" applyFont="1" applyFill="1" applyBorder="1" applyAlignment="1">
      <alignment horizontal="center" vertical="center"/>
    </xf>
    <xf numFmtId="9" fontId="11" fillId="20" borderId="3" xfId="0" applyNumberFormat="1" applyFont="1" applyFill="1" applyBorder="1" applyAlignment="1">
      <alignment horizontal="center" vertical="center"/>
    </xf>
    <xf numFmtId="164" fontId="11" fillId="0" borderId="52" xfId="0" applyNumberFormat="1" applyFont="1" applyBorder="1" applyAlignment="1">
      <alignment horizontal="center" vertical="center"/>
    </xf>
    <xf numFmtId="164" fontId="11" fillId="0" borderId="62" xfId="0" applyNumberFormat="1" applyFont="1" applyBorder="1" applyAlignment="1">
      <alignment horizontal="center" vertical="center"/>
    </xf>
    <xf numFmtId="0" fontId="21" fillId="0" borderId="0" xfId="0" applyFont="1"/>
    <xf numFmtId="8" fontId="21" fillId="0" borderId="0" xfId="0" applyNumberFormat="1" applyFont="1"/>
    <xf numFmtId="10" fontId="21" fillId="0" borderId="0" xfId="0" applyNumberFormat="1" applyFont="1"/>
    <xf numFmtId="0" fontId="20" fillId="0" borderId="109" xfId="0" applyFont="1" applyBorder="1"/>
    <xf numFmtId="0" fontId="21" fillId="0" borderId="110" xfId="0" applyFont="1" applyBorder="1"/>
    <xf numFmtId="0" fontId="21" fillId="0" borderId="89" xfId="0" applyFont="1" applyBorder="1"/>
    <xf numFmtId="9" fontId="3" fillId="0" borderId="81" xfId="0" applyNumberFormat="1" applyFont="1" applyBorder="1" applyAlignment="1">
      <alignment horizontal="center" vertical="center"/>
    </xf>
    <xf numFmtId="10" fontId="3" fillId="0" borderId="91" xfId="0" applyNumberFormat="1" applyFont="1" applyBorder="1" applyAlignment="1">
      <alignment horizontal="center" vertical="center"/>
    </xf>
    <xf numFmtId="8" fontId="3" fillId="0" borderId="85" xfId="0" applyNumberFormat="1" applyFont="1" applyBorder="1" applyAlignment="1">
      <alignment horizontal="center" vertical="center"/>
    </xf>
    <xf numFmtId="8" fontId="11" fillId="20" borderId="35" xfId="0" applyNumberFormat="1" applyFont="1" applyFill="1" applyBorder="1" applyAlignment="1">
      <alignment horizontal="center" vertical="center"/>
    </xf>
    <xf numFmtId="8" fontId="11" fillId="20" borderId="36" xfId="0" applyNumberFormat="1" applyFont="1" applyFill="1" applyBorder="1" applyAlignment="1">
      <alignment horizontal="center" vertical="center"/>
    </xf>
    <xf numFmtId="8" fontId="11" fillId="20" borderId="37" xfId="0" applyNumberFormat="1" applyFont="1" applyFill="1" applyBorder="1" applyAlignment="1">
      <alignment horizontal="center" vertical="center"/>
    </xf>
    <xf numFmtId="8" fontId="11" fillId="20" borderId="3" xfId="0" applyNumberFormat="1" applyFont="1" applyFill="1" applyBorder="1" applyAlignment="1">
      <alignment horizontal="center" vertical="center"/>
    </xf>
    <xf numFmtId="9" fontId="11" fillId="20" borderId="37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6" fillId="16" borderId="45" xfId="0" applyFont="1" applyFill="1" applyBorder="1" applyAlignment="1">
      <alignment horizontal="center" vertical="center"/>
    </xf>
    <xf numFmtId="8" fontId="11" fillId="10" borderId="91" xfId="0" applyNumberFormat="1" applyFont="1" applyFill="1" applyBorder="1" applyAlignment="1">
      <alignment horizontal="center" vertical="center"/>
    </xf>
    <xf numFmtId="8" fontId="11" fillId="10" borderId="89" xfId="0" applyNumberFormat="1" applyFont="1" applyFill="1" applyBorder="1" applyAlignment="1">
      <alignment horizontal="center" vertical="center"/>
    </xf>
    <xf numFmtId="8" fontId="3" fillId="0" borderId="89" xfId="0" applyNumberFormat="1" applyFont="1" applyBorder="1" applyAlignment="1">
      <alignment horizontal="center" vertical="center"/>
    </xf>
    <xf numFmtId="8" fontId="11" fillId="10" borderId="3" xfId="0" applyNumberFormat="1" applyFont="1" applyFill="1" applyBorder="1" applyAlignment="1">
      <alignment horizontal="center" vertical="center"/>
    </xf>
    <xf numFmtId="10" fontId="11" fillId="20" borderId="99" xfId="0" applyNumberFormat="1" applyFont="1" applyFill="1" applyBorder="1" applyAlignment="1">
      <alignment horizontal="center" vertical="center"/>
    </xf>
    <xf numFmtId="0" fontId="3" fillId="0" borderId="111" xfId="0" applyFont="1" applyBorder="1" applyAlignment="1">
      <alignment horizontal="left" vertical="center" indent="1"/>
    </xf>
    <xf numFmtId="8" fontId="11" fillId="0" borderId="19" xfId="0" applyNumberFormat="1" applyFont="1" applyBorder="1" applyAlignment="1">
      <alignment horizontal="center" vertical="center"/>
    </xf>
    <xf numFmtId="8" fontId="11" fillId="0" borderId="1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indent="1"/>
    </xf>
    <xf numFmtId="8" fontId="11" fillId="0" borderId="3" xfId="0" applyNumberFormat="1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8" fontId="11" fillId="0" borderId="103" xfId="0" applyNumberFormat="1" applyFont="1" applyBorder="1" applyAlignment="1">
      <alignment horizontal="center" vertical="center"/>
    </xf>
    <xf numFmtId="8" fontId="11" fillId="0" borderId="14" xfId="0" applyNumberFormat="1" applyFont="1" applyBorder="1" applyAlignment="1">
      <alignment horizontal="center" vertical="center"/>
    </xf>
    <xf numFmtId="0" fontId="3" fillId="0" borderId="114" xfId="0" applyFont="1" applyBorder="1" applyAlignment="1">
      <alignment horizontal="left" vertical="center" indent="1"/>
    </xf>
    <xf numFmtId="8" fontId="11" fillId="0" borderId="115" xfId="0" applyNumberFormat="1" applyFont="1" applyBorder="1" applyAlignment="1">
      <alignment horizontal="center" vertical="center"/>
    </xf>
    <xf numFmtId="0" fontId="11" fillId="8" borderId="116" xfId="0" applyFont="1" applyFill="1" applyBorder="1" applyAlignment="1">
      <alignment horizontal="center" vertical="center"/>
    </xf>
    <xf numFmtId="8" fontId="11" fillId="0" borderId="116" xfId="0" applyNumberFormat="1" applyFont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/>
    </xf>
    <xf numFmtId="10" fontId="0" fillId="0" borderId="0" xfId="0" applyNumberFormat="1"/>
    <xf numFmtId="0" fontId="25" fillId="0" borderId="0" xfId="0" applyFont="1"/>
    <xf numFmtId="0" fontId="27" fillId="0" borderId="0" xfId="0" applyFont="1"/>
    <xf numFmtId="9" fontId="11" fillId="20" borderId="31" xfId="0" applyNumberFormat="1" applyFont="1" applyFill="1" applyBorder="1" applyAlignment="1">
      <alignment horizontal="center" vertical="center"/>
    </xf>
    <xf numFmtId="165" fontId="22" fillId="21" borderId="109" xfId="0" applyNumberFormat="1" applyFont="1" applyFill="1" applyBorder="1" applyAlignment="1">
      <alignment horizontal="center" vertical="center"/>
    </xf>
    <xf numFmtId="0" fontId="22" fillId="22" borderId="109" xfId="0" applyFont="1" applyFill="1" applyBorder="1" applyAlignment="1">
      <alignment horizontal="center" vertical="center"/>
    </xf>
    <xf numFmtId="0" fontId="26" fillId="23" borderId="109" xfId="0" applyFont="1" applyFill="1" applyBorder="1" applyAlignment="1">
      <alignment horizontal="center" vertical="center"/>
    </xf>
    <xf numFmtId="0" fontId="26" fillId="21" borderId="109" xfId="0" applyFont="1" applyFill="1" applyBorder="1" applyAlignment="1">
      <alignment horizontal="center" vertical="center"/>
    </xf>
    <xf numFmtId="0" fontId="23" fillId="24" borderId="109" xfId="0" applyFont="1" applyFill="1" applyBorder="1" applyAlignment="1">
      <alignment horizontal="center" vertical="center" wrapText="1"/>
    </xf>
    <xf numFmtId="165" fontId="23" fillId="25" borderId="109" xfId="0" applyNumberFormat="1" applyFont="1" applyFill="1" applyBorder="1" applyAlignment="1">
      <alignment horizontal="center" vertical="center" wrapText="1"/>
    </xf>
    <xf numFmtId="165" fontId="24" fillId="26" borderId="109" xfId="0" applyNumberFormat="1" applyFont="1" applyFill="1" applyBorder="1" applyAlignment="1">
      <alignment horizontal="center" vertical="center" wrapText="1"/>
    </xf>
    <xf numFmtId="165" fontId="24" fillId="27" borderId="109" xfId="0" applyNumberFormat="1" applyFont="1" applyFill="1" applyBorder="1" applyAlignment="1">
      <alignment horizontal="center" vertical="center" wrapText="1"/>
    </xf>
    <xf numFmtId="165" fontId="24" fillId="28" borderId="109" xfId="0" applyNumberFormat="1" applyFont="1" applyFill="1" applyBorder="1" applyAlignment="1">
      <alignment horizontal="center" vertical="center" wrapText="1"/>
    </xf>
    <xf numFmtId="165" fontId="22" fillId="23" borderId="109" xfId="0" applyNumberFormat="1" applyFont="1" applyFill="1" applyBorder="1" applyAlignment="1">
      <alignment horizontal="center" vertical="center"/>
    </xf>
    <xf numFmtId="165" fontId="21" fillId="26" borderId="109" xfId="0" applyNumberFormat="1" applyFont="1" applyFill="1" applyBorder="1"/>
    <xf numFmtId="165" fontId="24" fillId="26" borderId="109" xfId="0" applyNumberFormat="1" applyFont="1" applyFill="1" applyBorder="1" applyAlignment="1">
      <alignment horizontal="center" wrapText="1"/>
    </xf>
    <xf numFmtId="0" fontId="22" fillId="21" borderId="109" xfId="0" applyFont="1" applyFill="1" applyBorder="1" applyAlignment="1">
      <alignment horizontal="center" vertical="center"/>
    </xf>
    <xf numFmtId="0" fontId="11" fillId="0" borderId="0" xfId="0" applyFont="1"/>
    <xf numFmtId="0" fontId="16" fillId="17" borderId="1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6" fillId="17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11" borderId="92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5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6" fillId="16" borderId="45" xfId="0" applyFont="1" applyFill="1" applyBorder="1" applyAlignment="1">
      <alignment horizontal="center" vertical="center"/>
    </xf>
    <xf numFmtId="0" fontId="16" fillId="16" borderId="103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74" xfId="0" applyFont="1" applyFill="1" applyBorder="1" applyAlignment="1">
      <alignment horizontal="center" vertical="center"/>
    </xf>
    <xf numFmtId="0" fontId="14" fillId="12" borderId="91" xfId="0" applyFont="1" applyFill="1" applyBorder="1" applyAlignment="1">
      <alignment horizontal="center" vertical="center"/>
    </xf>
    <xf numFmtId="0" fontId="14" fillId="12" borderId="75" xfId="0" applyFont="1" applyFill="1" applyBorder="1" applyAlignment="1">
      <alignment horizontal="center" vertical="center"/>
    </xf>
    <xf numFmtId="0" fontId="14" fillId="12" borderId="89" xfId="0" applyFont="1" applyFill="1" applyBorder="1" applyAlignment="1">
      <alignment horizontal="center" vertical="center"/>
    </xf>
    <xf numFmtId="0" fontId="14" fillId="12" borderId="76" xfId="0" applyFont="1" applyFill="1" applyBorder="1" applyAlignment="1">
      <alignment horizontal="center" vertical="center"/>
    </xf>
    <xf numFmtId="0" fontId="14" fillId="12" borderId="90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44" xfId="0" applyFont="1" applyFill="1" applyBorder="1" applyAlignment="1">
      <alignment horizontal="center" vertical="center"/>
    </xf>
    <xf numFmtId="0" fontId="16" fillId="17" borderId="108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6" fillId="15" borderId="45" xfId="0" applyFont="1" applyFill="1" applyBorder="1" applyAlignment="1">
      <alignment horizontal="center" vertical="center"/>
    </xf>
    <xf numFmtId="0" fontId="16" fillId="15" borderId="53" xfId="0" applyFont="1" applyFill="1" applyBorder="1" applyAlignment="1">
      <alignment horizontal="center" vertical="center"/>
    </xf>
    <xf numFmtId="0" fontId="16" fillId="15" borderId="103" xfId="0" applyFont="1" applyFill="1" applyBorder="1" applyAlignment="1">
      <alignment horizontal="center" vertical="center"/>
    </xf>
    <xf numFmtId="0" fontId="11" fillId="0" borderId="6" xfId="0" applyFont="1" applyBorder="1"/>
    <xf numFmtId="0" fontId="16" fillId="16" borderId="5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5" borderId="5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09" xfId="0" applyBorder="1" applyAlignment="1">
      <alignment horizontal="center"/>
    </xf>
    <xf numFmtId="0" fontId="0" fillId="0" borderId="1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8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0" borderId="120" xfId="0" applyBorder="1" applyAlignment="1">
      <alignment horizontal="center"/>
    </xf>
  </cellXfs>
  <cellStyles count="6">
    <cellStyle name="Comma" xfId="3" builtinId="3"/>
    <cellStyle name="Currency" xfId="1" builtinId="4"/>
    <cellStyle name="Hyperlink" xfId="4" builtinId="8"/>
    <cellStyle name="Normal" xfId="0" builtinId="0"/>
    <cellStyle name="Normal 2" xfId="5" xr:uid="{7DA7AFD5-D2A2-4B78-ABA4-1EF54268F07F}"/>
    <cellStyle name="Percent" xfId="2" builtinId="5"/>
  </cellStyles>
  <dxfs count="310"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7" tint="0.79998168889431442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7" tint="0.79998168889431442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7" tint="0.79998168889431442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7" tint="0.79998168889431442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>
          <bgColor rgb="FFC7E1B5"/>
        </patternFill>
      </fill>
    </dxf>
    <dxf>
      <fill>
        <patternFill>
          <bgColor rgb="FFFFB3B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rgb="FFC7E1B5"/>
        </patternFill>
      </fill>
    </dxf>
    <dxf>
      <fill>
        <patternFill>
          <bgColor theme="0"/>
        </patternFill>
      </fill>
    </dxf>
    <dxf>
      <fill>
        <patternFill>
          <bgColor rgb="FFFFB3B3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B3B3"/>
      <color rgb="FFC7E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PORTFOLIO!$F$4:$Q$4</c:f>
              <c:numCache>
                <c:formatCode>0%</c:formatCode>
                <c:ptCount val="12"/>
                <c:pt idx="0">
                  <c:v>0.23846385470853546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8-4767-AA17-935D2D15E52C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A8-4767-AA17-935D2D15E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A8-4767-AA17-935D2D15E52C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A8-4767-AA17-935D2D15E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A8-4767-AA17-935D2D15E5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BEER!$F$4:$Q$4</c:f>
              <c:numCache>
                <c:formatCode>0%</c:formatCode>
                <c:ptCount val="12"/>
                <c:pt idx="0">
                  <c:v>0.21396284807445864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C-4D81-9D6D-EB6F548397C1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0C-4D81-9D6D-EB6F54839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C-4D81-9D6D-EB6F548397C1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0C-4D81-9D6D-EB6F54839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C-4D81-9D6D-EB6F548397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Brahma!$F$4:$Q$4</c:f>
              <c:numCache>
                <c:formatCode>0%</c:formatCode>
                <c:ptCount val="12"/>
                <c:pt idx="0">
                  <c:v>0.22202073182215187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F-46C9-9798-36711DC1DD58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9F-46C9-9798-36711DC1D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F-46C9-9798-36711DC1DD58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9F-46C9-9798-36711DC1D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9F-46C9-9798-36711DC1DD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Budweiser!$F$4:$Q$4</c:f>
              <c:numCache>
                <c:formatCode>0%</c:formatCode>
                <c:ptCount val="12"/>
                <c:pt idx="0">
                  <c:v>0.24037611870636669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E-4B17-8FDF-8E81DC286881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1E-4B17-8FDF-8E81DC286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E-4B17-8FDF-8E81DC286881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1E-4B17-8FDF-8E81DC286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E-4B17-8FDF-8E81DC2868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Corona!$F$4:$Q$4</c:f>
              <c:numCache>
                <c:formatCode>0%</c:formatCode>
                <c:ptCount val="12"/>
                <c:pt idx="0">
                  <c:v>0.21410560766986911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D-481C-9395-3B4E14855198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1D-481C-9395-3B4E14855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D-481C-9395-3B4E14855198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1D-481C-9395-3B4E14855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D-481C-9395-3B4E148551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Spaten!$F$4:$Q$4</c:f>
              <c:numCache>
                <c:formatCode>0%</c:formatCode>
                <c:ptCount val="12"/>
                <c:pt idx="0">
                  <c:v>0.16046978098359899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3-4C38-9DBC-309D94E1CA7A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73-4C38-9DBC-309D94E1C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3-4C38-9DBC-309D94E1CA7A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73-4C38-9DBC-309D94E1C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73-4C38-9DBC-309D94E1CA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Beats!$F$4:$Q$4</c:f>
              <c:numCache>
                <c:formatCode>0%</c:formatCode>
                <c:ptCount val="12"/>
                <c:pt idx="0">
                  <c:v>0.26231190538214877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B-4BAC-8FBF-7641F8BB949D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1B-4BAC-8FBF-7641F8B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1B-4BAC-8FBF-7641F8BB949D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1B-4BAC-8FBF-7641F8B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1B-4BAC-8FBF-7641F8BB94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Becks!$F$4:$Q$4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7-4A68-8AA6-D1836FBF7A5A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37-4A68-8AA6-D1836FBF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7-4A68-8AA6-D1836FBF7A5A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37-4A68-8AA6-D1836FBF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7-4A68-8AA6-D1836FBF7A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Fusion!$F$4:$Q$4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0-4F35-8CAA-B40198CC50C3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0-4F35-8CAA-B40198CC50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00-4F35-8CAA-B40198CC50C3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0-4F35-8CAA-B40198CC50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0-4F35-8CAA-B40198CC50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Guarana!$F$4:$Q$4</c:f>
              <c:numCache>
                <c:formatCode>0%</c:formatCode>
                <c:ptCount val="12"/>
                <c:pt idx="0">
                  <c:v>0.23307192963804019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7-4A46-A3DD-EC05F2D7964A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87-4A46-A3DD-EC05F2D796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7-4A46-A3DD-EC05F2D7964A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87-4A46-A3DD-EC05F2D796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87-4A46-A3DD-EC05F2D796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Institucional!$F$4:$Q$4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A-4EA0-B0C9-5D2B15725121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2A-4EA0-B0C9-5D2B157251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A-4EA0-B0C9-5D2B15725121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2A-4EA0-B0C9-5D2B157251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2A-4EA0-B0C9-5D2B157251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Michelob!$F$4:$Q$4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5-4D98-A713-440BADEC98FB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C5-4D98-A713-440BADEC98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C5-4D98-A713-440BADEC98FB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C5-4D98-A713-440BADEC98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C5-4D98-A713-440BADEC98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Mikes!$F$4:$Q$4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2-4690-9559-C7E7F6B8D243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A2-4690-9559-C7E7F6B8D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A2-4690-9559-C7E7F6B8D243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A2-4690-9559-C7E7F6B8D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A2-4690-9559-C7E7F6B8D2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Patagônia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Patagonia!$F$4:$Q$4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2-45E9-A5F3-3B81A940F4E0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C2-45E9-A5F3-3B81A940F4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2-45E9-A5F3-3B81A940F4E0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C2-45E9-A5F3-3B81A940F4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C2-45E9-A5F3-3B81A940F4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Skol!$F$4:$Q$4</c:f>
              <c:numCache>
                <c:formatCode>0%</c:formatCode>
                <c:ptCount val="12"/>
                <c:pt idx="0">
                  <c:v>0.27993287078194612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1-4858-83FD-C7460DF7BD95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11-4858-83FD-C7460DF7BD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1-4858-83FD-C7460DF7BD95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11-4858-83FD-C7460DF7BD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11-4858-83FD-C7460DF7BD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 Artois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Artois'!$F$4:$Q$4</c:f>
              <c:numCache>
                <c:formatCode>0%</c:formatCode>
                <c:ptCount val="12"/>
                <c:pt idx="0">
                  <c:v>0.18640949462312098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0-4B28-83FD-304442402CD8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50-4B28-83FD-304442402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0-4B28-83FD-304442402CD8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50-4B28-83FD-304442402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50-4B28-83FD-304442402C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Tonica!$F$4:$Q$4</c:f>
              <c:numCache>
                <c:formatCode>0%</c:formatCode>
                <c:ptCount val="12"/>
                <c:pt idx="0">
                  <c:v>0.32562303862831554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C-4887-96A0-2ADBB3A1EFB5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FC-4887-96A0-2ADBB3A1E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C-4887-96A0-2ADBB3A1EFB5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FC-4887-96A0-2ADBB3A1E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FC-4887-96A0-2ADBB3A1EF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Delivery'!$C$4</c:f>
              <c:strCache>
                <c:ptCount val="1"/>
                <c:pt idx="0">
                  <c:v>1st Party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Delivery'!$F$4:$Q$4</c:f>
              <c:numCache>
                <c:formatCode>0%</c:formatCode>
                <c:ptCount val="12"/>
                <c:pt idx="0">
                  <c:v>0.40646507638540524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6-4F72-861B-A617660D7B00}"/>
            </c:ext>
          </c:extLst>
        </c:ser>
        <c:ser>
          <c:idx val="1"/>
          <c:order val="1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B6-4F72-861B-A617660D7B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usage'!$Z$8:$Z$19</c:f>
              <c:numCache>
                <c:formatCode>0%</c:formatCode>
                <c:ptCount val="1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B6-4F72-861B-A617660D7B00}"/>
            </c:ext>
          </c:extLst>
        </c:ser>
        <c:ser>
          <c:idx val="2"/>
          <c:order val="2"/>
          <c:tx>
            <c:strRef>
              <c:f>'data usage'!$Y$7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B6-4F72-861B-A617660D7B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'data usage'!$AA$8:$AA$19</c:f>
              <c:numCache>
                <c:formatCode>0%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B6-4F72-861B-A617660D7B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5-4B62-B7A3-35B1102D51B4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6B-49E4-86D5-14A4A51835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5-4B62-B7A3-35B1102D51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6-4641-A70C-F120CA5A86C5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5A-4C11-A3F0-1ACB5056A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6-4641-A70C-F120CA5A86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3461712"/>
        <c:axId val="2083449232"/>
      </c:lineChart>
      <c:catAx>
        <c:axId val="2083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449232"/>
        <c:crosses val="autoZero"/>
        <c:auto val="1"/>
        <c:lblAlgn val="ctr"/>
        <c:lblOffset val="100"/>
        <c:noMultiLvlLbl val="1"/>
      </c:catAx>
      <c:valAx>
        <c:axId val="2083449232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834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0-4E72-B60A-54AF8A48F627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AA-4D8E-8CDF-EBDAA75D4F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0-4E72-B60A-54AF8A48F6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9-46E5-8BA7-9F6659189797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7D-40DE-A0C3-24B92744C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9-46E5-8BA7-9F6659189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22480"/>
        <c:axId val="2134619152"/>
      </c:lineChart>
      <c:catAx>
        <c:axId val="21346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619152"/>
        <c:crosses val="autoZero"/>
        <c:auto val="1"/>
        <c:lblAlgn val="ctr"/>
        <c:lblOffset val="100"/>
        <c:noMultiLvlLbl val="1"/>
      </c:catAx>
      <c:valAx>
        <c:axId val="213461915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1346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3-4BD5-8F82-F16E063D662D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83-4E02-BBDF-024C34B15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3-4BD5-8F82-F16E063D66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Becks!$C$5</c:f>
              <c:strCache>
                <c:ptCount val="1"/>
                <c:pt idx="0">
                  <c:v>Digital: Campaigns &gt; 8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2-47E5-9E4A-2F507B78E473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F1-4C54-86F6-9887450A6C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2-47E5-9E4A-2F507B78E4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2-4137-BD74-84D17B8DA7A6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F2-48C6-B27D-D5F9E5DD4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2-4137-BD74-84D17B8DA7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8-4EA9-815B-EFF4F16DA7FD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6-4189-BFBE-C1BA6757B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8-4EA9-815B-EFF4F16DA7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Institucional!$C$5</c:f>
              <c:strCache>
                <c:ptCount val="1"/>
                <c:pt idx="0">
                  <c:v>Digital: 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3-4718-BEE5-AE272D58B88A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E0-4644-AACD-6CF13FF1B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3-4718-BEE5-AE272D58B8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Michelob!$C$5</c:f>
              <c:strCache>
                <c:ptCount val="1"/>
                <c:pt idx="0">
                  <c:v>Digital: Campaigns &gt; 8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Michelob!$F$5:$Q$5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1-457F-80E0-67E3121768C5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75-49CE-8569-E60E7B0FA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1-457F-80E0-67E3121768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F-49DC-AA46-2D1B28BF5487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EF-4C98-83A1-4BCDC0AC7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F-49DC-AA46-2D1B28BF54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Patagonia!$C$5</c:f>
              <c:strCache>
                <c:ptCount val="1"/>
                <c:pt idx="0">
                  <c:v>Digital: Campaigns &gt; 8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6-4E77-BC06-A48A148703A3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76-4A4D-961A-0D35FF5C4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6-4E77-BC06-A48A148703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4-4647-8765-4F3A1C027B7C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7B-4F52-AA80-93FA8F69D5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4-4647-8765-4F3A1C027B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3-4252-BD61-56A8B136B833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F3-4386-8C96-F92EB964A7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3-4252-BD61-56A8B136B8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D-47D0-BDF8-76B818077FCF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E7-4F7A-88C1-A9443A7D29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D-47D0-BDF8-76B818077F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Delivery'!$F$5:$Q$5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6-4E10-BF2E-28AE2ED7305F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B9-41B4-9D57-9110989A4B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6-4E10-BF2E-28AE2ED730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7-469C-84BF-9892A0845BFD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51-485E-BB0F-EC49311E8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07-469C-84BF-9892A0845B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PORTFOLIO!$C$5</c:f>
              <c:strCache>
                <c:ptCount val="1"/>
                <c:pt idx="0">
                  <c:v>Campaigns &gt; 12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PORTFOLIO!$F$5:$Q$5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C-487B-B8C3-DBA95D5B2A20}"/>
            </c:ext>
          </c:extLst>
        </c:ser>
        <c:ser>
          <c:idx val="1"/>
          <c:order val="1"/>
          <c:tx>
            <c:strRef>
              <c:f>'cp&gt;12W'!$Y$8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86-4CF1-AB9C-97E08C364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'cp&gt;12W'!$Z$9:$Z$20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4C-487B-B8C3-DBA95D5B2A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Brahma!$F$6:$Q$6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9-48B4-B6A6-26CFA8574253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C9-48B4-B6A6-26CFA8574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C9-48B4-B6A6-26CFA85742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Budweiser!$F$6:$Q$6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8-4929-9DCD-EBC281391F60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98-4929-9DCD-EBC281391F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8-4929-9DCD-EBC281391F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3461712"/>
        <c:axId val="2083449232"/>
      </c:lineChart>
      <c:catAx>
        <c:axId val="2083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449232"/>
        <c:crosses val="autoZero"/>
        <c:auto val="1"/>
        <c:lblAlgn val="ctr"/>
        <c:lblOffset val="100"/>
        <c:noMultiLvlLbl val="1"/>
      </c:catAx>
      <c:valAx>
        <c:axId val="2083449232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834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Corona!$F$6:$Q$6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1-4E57-BA32-B3D6215C8F72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C1-4E57-BA32-B3D6215C8F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C1-4E57-BA32-B3D6215C8F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Spaten!$F$6:$Q$6</c:f>
              <c:numCache>
                <c:formatCode>0%</c:formatCode>
                <c:ptCount val="12"/>
                <c:pt idx="0">
                  <c:v>0.88157874941911774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5-4724-BC0F-806102C56F66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15-4724-BC0F-806102C56F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15-4724-BC0F-806102C5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22480"/>
        <c:axId val="2134619152"/>
      </c:lineChart>
      <c:catAx>
        <c:axId val="21346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619152"/>
        <c:crosses val="autoZero"/>
        <c:auto val="1"/>
        <c:lblAlgn val="ctr"/>
        <c:lblOffset val="100"/>
        <c:noMultiLvlLbl val="1"/>
      </c:catAx>
      <c:valAx>
        <c:axId val="213461915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1346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Beats!$F$6:$Q$6</c:f>
              <c:numCache>
                <c:formatCode>0%</c:formatCode>
                <c:ptCount val="12"/>
                <c:pt idx="0">
                  <c:v>0.67525648632332103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2-4C3A-BDC7-A7DDAC5610FF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52-4C3A-BDC7-A7DDAC561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2-4C3A-BDC7-A7DDAC5610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B-43ED-9306-DC8EB535A772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3B-43ED-9306-DC8EB535A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3B-43ED-9306-DC8EB535A7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D-418B-B2D2-08CB57F7F2CC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DD-418B-B2D2-08CB57F7F2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DD-418B-B2D2-08CB57F7F2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Guarana!$F$6:$Q$6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A-4544-A735-8DF96EEB6271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3A-4544-A735-8DF96EEB62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A-4544-A735-8DF96EEB62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6-4FC8-8811-EADF8DA23EAC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66-4FC8-8811-EADF8DA23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66-4FC8-8811-EADF8DA23E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Michelob!$F$6:$Q$6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B-460A-A502-7B7ADC430823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7B-460A-A502-7B7ADC4308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B-460A-A502-7B7ADC4308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A-4D1D-AD84-42A0C9F2F789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EA-4D1D-AD84-42A0C9F2F7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A-4D1D-AD84-42A0C9F2F7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B-40AF-85F6-E3EEDCC65A42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0B-40AF-85F6-E3EEDCC65A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B-40AF-85F6-E3EEDCC65A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Skol!$F$6:$Q$6</c:f>
              <c:numCache>
                <c:formatCode>0%</c:formatCode>
                <c:ptCount val="12"/>
                <c:pt idx="0">
                  <c:v>0.90626329194382049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5-4C32-81A2-2B65621D9CBA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5-4C32-81A2-2B65621D9C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5-4C32-81A2-2B65621D9C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Artois'!$F$6:$Q$6</c:f>
              <c:numCache>
                <c:formatCode>0%</c:formatCode>
                <c:ptCount val="12"/>
                <c:pt idx="0">
                  <c:v>0.96436302984798483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D-4690-B777-C4B67A04BAD7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FD-4690-B777-C4B67A04B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D-4690-B777-C4B67A04BA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Tonica!$F$6:$Q$6</c:f>
              <c:numCache>
                <c:formatCode>0%</c:formatCode>
                <c:ptCount val="12"/>
                <c:pt idx="0">
                  <c:v>0.24229177293654316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2-48B1-95BD-2AF6B02FCFC8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A2-48B1-95BD-2AF6B02FCF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2-48B1-95BD-2AF6B02FCF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Delivery'!$F$6:$Q$6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5-494B-8F3E-14B341369001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15-494B-8F3E-14B341369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5-494B-8F3E-14B3413690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BEER!$F$6:$Q$6</c:f>
              <c:numCache>
                <c:formatCode>0%</c:formatCode>
                <c:ptCount val="12"/>
                <c:pt idx="0">
                  <c:v>0.95684969167064104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C-4834-9ABD-84421ADAE206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CC-4834-9ABD-84421ADAE2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CC-4834-9ABD-84421ADAE2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PORTFOLIO!$C$6</c:f>
              <c:strCache>
                <c:ptCount val="1"/>
                <c:pt idx="0">
                  <c:v>% of videos less than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PORTFOLIO!$F$6:$Q$6</c:f>
              <c:numCache>
                <c:formatCode>0%</c:formatCode>
                <c:ptCount val="12"/>
                <c:pt idx="0">
                  <c:v>0.90260754336919913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B-4D62-8D38-904897B981F8}"/>
            </c:ext>
          </c:extLst>
        </c:ser>
        <c:ser>
          <c:idx val="1"/>
          <c:order val="1"/>
          <c:tx>
            <c:strRef>
              <c:f>'% 10"'!$Y$7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0B-4D62-8D38-904897B98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'% 10"'!$Z$8:$Z$19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0B-4D62-8D38-904897B981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F-41AC-A70C-9CDC7BF29EDC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0F-41AC-A70C-9CDC7BF29E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F-41AC-A70C-9CDC7BF29E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1-419C-988D-6175A451E1E4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C1-419C-988D-6175A451E1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C1-419C-988D-6175A451E1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3461712"/>
        <c:axId val="2083449232"/>
      </c:lineChart>
      <c:catAx>
        <c:axId val="2083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449232"/>
        <c:crosses val="autoZero"/>
        <c:auto val="1"/>
        <c:lblAlgn val="ctr"/>
        <c:lblOffset val="100"/>
        <c:noMultiLvlLbl val="1"/>
      </c:catAx>
      <c:valAx>
        <c:axId val="2083449232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834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9-410B-AA74-294488B849EC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39-410B-AA74-294488B84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9-410B-AA74-294488B849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7-42A3-9841-1871417FEDE5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CE-4BD7-BCEF-A21BBB77659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CE-4BD7-BCEF-A21BBB77659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CE-4BD7-BCEF-A21BBB77659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CE-4BD7-BCEF-A21BBB77659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CE-4BD7-BCEF-A21BBB77659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CE-4BD7-BCEF-A21BBB77659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CE-4BD7-BCEF-A21BBB77659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CE-4BD7-BCEF-A21BBB77659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CE-4BD7-BCEF-A21BBB77659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CE-4BD7-BCEF-A21BBB77659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DCE-4BD7-BCEF-A21BBB776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7-42A3-9841-1871417FED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34622480"/>
        <c:axId val="2134619152"/>
      </c:lineChart>
      <c:catAx>
        <c:axId val="21346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619152"/>
        <c:crosses val="autoZero"/>
        <c:auto val="1"/>
        <c:lblAlgn val="ctr"/>
        <c:lblOffset val="100"/>
        <c:noMultiLvlLbl val="1"/>
      </c:catAx>
      <c:valAx>
        <c:axId val="213461915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1346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F-44FE-8ECE-D9FBBC2DF3DD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AF-44FE-8ECE-D9FBBC2DF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F-44FE-8ECE-D9FBBC2DF3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Becks!$F$7:$Q$7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A-4CBF-942C-25C9CF226908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4A-4CBF-942C-25C9CF226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A-4CBF-942C-25C9CF2269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Fusion!$F$7:$Q$7</c:f>
              <c:numCache>
                <c:formatCode>General</c:formatCode>
                <c:ptCount val="12"/>
                <c:pt idx="0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E-4D89-AFBE-AA32C1C5D64B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9E-4D89-AFBE-AA32C1C5D6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E-4D89-AFBE-AA32C1C5D6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5-499E-A2B5-CA6CCA9B7BF1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5-499E-A2B5-CA6CCA9B7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5-499E-A2B5-CA6CCA9B7B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Institucional!$F$7:$Q$7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6-402D-A0FE-8C4BF4CEABCC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96-402D-A0FE-8C4BF4CEA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6-402D-A0FE-8C4BF4CEAB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Michelob!$F$7:$Q$7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D-445D-ACFB-AF74B593C126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AD-445D-ACFB-AF74B593C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AD-445D-ACFB-AF74B593C1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Mikes!$F$7:$Q$7</c:f>
              <c:numCache>
                <c:formatCode>General</c:formatCode>
                <c:ptCount val="12"/>
                <c:pt idx="0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B-43B3-99EF-CF907BD48BB9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0B-43B3-99EF-CF907BD48B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B-43B3-99EF-CF907BD48B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Patagonia!$F$7:$Q$7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2-4DA4-91A2-68EF646E1084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82-4DA4-91A2-68EF646E10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2-4DA4-91A2-68EF646E10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D-4C0F-94ED-0915B99C0038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3D-4C0F-94ED-0915B99C00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3D-4C0F-94ED-0915B99C00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7-4A9F-87B5-BC8A25C47881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87-4A9F-87B5-BC8A25C47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7-4A9F-87B5-BC8A25C478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Tonica!$F$7:$Q$7</c:f>
              <c:numCache>
                <c:formatCode>General</c:formatCode>
                <c:ptCount val="12"/>
                <c:pt idx="0" formatCode="0%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D6F-B633-CB50ABBB25C4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AA-4D6F-B633-CB50ABBB25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A-4D6F-B633-CB50ABBB25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Delivery'!$F$7:$Q$7</c:f>
              <c:numCache>
                <c:formatCode>General</c:formatCode>
                <c:ptCount val="12"/>
                <c:pt idx="0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0-4089-BD0F-79079F0A1D0B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D0-4089-BD0F-79079F0A1D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0-4089-BD0F-79079F0A1D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BEER!$F$7:$Q$7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A-488E-AFBD-269B66AC4C27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1A-488E-AFBD-269B66AC4C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A-488E-AFBD-269B66AC4C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PORTFOLIO!$C$7</c:f>
              <c:strCache>
                <c:ptCount val="1"/>
                <c:pt idx="0">
                  <c:v>Weeks above minimum reach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PORTFOLIO!$F$7:$Q$7</c:f>
              <c:numCache>
                <c:formatCode>General</c:formatCode>
                <c:ptCount val="12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reach_fb!#REF!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C8-4838-828F-3F35F5056531}"/>
            </c:ext>
          </c:extLst>
        </c:ser>
        <c:ser>
          <c:idx val="1"/>
          <c:order val="1"/>
          <c:tx>
            <c:strRef>
              <c:f>reach_fb!$Y$7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C8-4838-828F-3F35F50565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reach_fb!$Z$8:$Z$19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8-4838-828F-3F35F50565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C-4CA4-B106-2E75EAE8B282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6C-4CA4-B106-2E75EAE8B2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C-4CA4-B106-2E75EAE8B2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A-4640-AABD-0BFE1896EF51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0A-4640-AABD-0BFE1896EF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A-4640-AABD-0BFE1896EF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3461712"/>
        <c:axId val="2083449232"/>
      </c:lineChart>
      <c:catAx>
        <c:axId val="2083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449232"/>
        <c:crosses val="autoZero"/>
        <c:auto val="1"/>
        <c:lblAlgn val="ctr"/>
        <c:lblOffset val="100"/>
        <c:noMultiLvlLbl val="1"/>
      </c:catAx>
      <c:valAx>
        <c:axId val="2083449232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834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3-4D66-8EA3-BB335B618E23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D3-4D66-8EA3-BB335B618E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3-4D66-8EA3-BB335B618E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Spaten!$F$8:$Q$8</c:f>
              <c:numCache>
                <c:formatCode>0%</c:formatCode>
                <c:ptCount val="12"/>
                <c:pt idx="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3-4C8E-A866-03DC30059D25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F3-4C8E-A866-03DC30059D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3-4C8E-A866-03DC30059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22480"/>
        <c:axId val="2134619152"/>
      </c:lineChart>
      <c:catAx>
        <c:axId val="21346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619152"/>
        <c:crosses val="autoZero"/>
        <c:auto val="1"/>
        <c:lblAlgn val="ctr"/>
        <c:lblOffset val="100"/>
        <c:noMultiLvlLbl val="1"/>
      </c:catAx>
      <c:valAx>
        <c:axId val="213461915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1346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B-40EC-830A-1C4C32468652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3B-40EC-830A-1C4C324686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B-40EC-830A-1C4C324686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Becks!$F$8:$Q$8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3-4EEF-97FB-4D59FCEE9B86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3-4EEF-97FB-4D59FCEE9B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33-4EEF-97FB-4D59FCEE9B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Fusion!$F$8:$Q$8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5-4357-BF72-0AE55AEAD025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B5-4357-BF72-0AE55AEAD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B5-4357-BF72-0AE55AEAD0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Guarana!$F$8:$Q$8</c:f>
              <c:numCache>
                <c:formatCode>0%</c:formatCode>
                <c:ptCount val="12"/>
                <c:pt idx="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D-4B8D-91C4-BA3723906013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6D-4B8D-91C4-BA3723906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D-4B8D-91C4-BA37239060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Institucional!$F$8:$Q$8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7-4C0C-BA37-28195B8E4203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37-4C0C-BA37-28195B8E42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7-4C0C-BA37-28195B8E42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Michelob!$F$8:$Q$8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819-A425-75D1CBEAB064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39-4819-A425-75D1CBEAB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819-A425-75D1CBEAB0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Mikes!$F$8:$Q$8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9-470D-81D9-37C7C5141A3A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09-470D-81D9-37C7C5141A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9-470D-81D9-37C7C5141A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Patagonia!$F$8:$Q$8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A-4C83-8A75-860A2A3CBBCB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A-4C83-8A75-860A2A3CBB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A-4C83-8A75-860A2A3CBB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4-42FD-9BC7-E79A7A9EF1F0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34-42FD-9BC7-E79A7A9EF1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4-42FD-9BC7-E79A7A9EF1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D-4E4B-B9CD-2BAACD478493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8D-4E4B-B9CD-2BAACD478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D-4E4B-B9CD-2BAACD4784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Tonica!$F$8:$Q$8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5-46FF-9EB3-3B75739B7F62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A5-46FF-9EB3-3B75739B7F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5-46FF-9EB3-3B75739B7F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Delivery'!$F$8:$Q$8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7-487B-91AD-0A419C91C58A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67-487B-91AD-0A419C91C5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7-487B-91AD-0A419C91C5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BEER!$F$8:$Q$8</c:f>
              <c:numCache>
                <c:formatCode>0%</c:formatCode>
                <c:ptCount val="12"/>
                <c:pt idx="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D-4B80-B8CC-CCBEAF98A8B5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9D-4B80-B8CC-CCBEAF98A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D-4B80-B8CC-CCBEAF98A8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PORTFOLIO!$C$8</c:f>
              <c:strCache>
                <c:ptCount val="1"/>
                <c:pt idx="0">
                  <c:v>Weekly Frequency FB (&gt;=2 e &lt;=3)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PORTFOLIO!$F$8:$Q$8</c:f>
              <c:numCache>
                <c:formatCode>0%</c:formatCode>
                <c:ptCount val="12"/>
                <c:pt idx="0">
                  <c:v>0.84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freq_fb!#REF!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4E6-4BCC-8294-1A2A38991C1F}"/>
            </c:ext>
          </c:extLst>
        </c:ser>
        <c:ser>
          <c:idx val="1"/>
          <c:order val="1"/>
          <c:tx>
            <c:strRef>
              <c:f>freq_fb!$Y$7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E6-4BCC-8294-1A2A38991C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freq_fb!$Z$8:$Z$19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6-4BCC-8294-1A2A38991C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Brahma!$F$9:$Q$9</c:f>
              <c:numCache>
                <c:formatCode>0%</c:formatCode>
                <c:ptCount val="12"/>
                <c:pt idx="0">
                  <c:v>0.27700000000000002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3-4DFB-89DD-5EB1E52D126E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33-4DFB-89DD-5EB1E52D12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3-4DFB-89DD-5EB1E52D12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Budweiser!$F$9:$Q$9</c:f>
              <c:numCache>
                <c:formatCode>0%</c:formatCode>
                <c:ptCount val="12"/>
                <c:pt idx="0">
                  <c:v>0.27700000000000002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D-4BAB-ADF7-AAA92F52DB31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CD-4BAB-ADF7-AAA92F52DB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Budweiser!$F$3:$Q$3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D-4BAB-ADF7-AAA92F52DB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3461712"/>
        <c:axId val="2083449232"/>
      </c:lineChart>
      <c:catAx>
        <c:axId val="2083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449232"/>
        <c:crosses val="autoZero"/>
        <c:auto val="1"/>
        <c:lblAlgn val="ctr"/>
        <c:lblOffset val="100"/>
        <c:noMultiLvlLbl val="1"/>
      </c:catAx>
      <c:valAx>
        <c:axId val="2083449232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834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Corona!$F$9:$Q$9</c:f>
              <c:numCache>
                <c:formatCode>0%</c:formatCode>
                <c:ptCount val="12"/>
                <c:pt idx="0">
                  <c:v>0.26600000000000001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A-4DB3-80C8-E0405C7F9F0A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CA-4DB3-80C8-E0405C7F9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A-4DB3-80C8-E0405C7F9F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Spaten!$F$9:$Q$9</c:f>
              <c:numCache>
                <c:formatCode>0%</c:formatCode>
                <c:ptCount val="12"/>
                <c:pt idx="0">
                  <c:v>0.21299999999999999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5-4892-8363-92C98B2305DF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15-4892-8363-92C98B2305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Spaten!$F$3:$Q$3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5-4892-8363-92C98B23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22480"/>
        <c:axId val="2134619152"/>
      </c:lineChart>
      <c:catAx>
        <c:axId val="21346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619152"/>
        <c:crosses val="autoZero"/>
        <c:auto val="1"/>
        <c:lblAlgn val="ctr"/>
        <c:lblOffset val="100"/>
        <c:noMultiLvlLbl val="1"/>
      </c:catAx>
      <c:valAx>
        <c:axId val="213461915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1346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8-41F9-8245-604B71C8DDF4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48-41F9-8245-604B71C8D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48-41F9-8245-604B71C8DD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Becks!$C$9</c:f>
              <c:strCache>
                <c:ptCount val="1"/>
                <c:pt idx="0">
                  <c:v>YouTube Weekly Reach: &gt;25%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B-4308-B062-BE45BD630B9C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CB-4308-B062-BE45BD630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B-4308-B062-BE45BD630B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0-4E19-BCDE-43D0327341D6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60-4E19-BCDE-43D032734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0-4E19-BCDE-43D0327341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Guarana!$C$9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Guarana!$F$9:$Q$9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9-493A-B438-4209E07C509D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C9-493A-B438-4209E07C50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9-493A-B438-4209E07C50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42F-A9E1-C4F5C3C1ED4D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ED-442F-A9E1-C4F5C3C1E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D-442F-A9E1-C4F5C3C1ED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Michelob!$C$9</c:f>
              <c:strCache>
                <c:ptCount val="1"/>
                <c:pt idx="0">
                  <c:v>YouTube Weekly Reach: &gt;25%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Michelob!$F$9:$Q$9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7-45FE-821E-09BBD692EFE1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F7-45FE-821E-09BBD692EF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F7-45FE-821E-09BBD692EF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Mikes!$F$9:$Q$9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6-45E4-98D2-B595F88FD49E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F6-45E4-98D2-B595F88FD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6-45E4-98D2-B595F88FD4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Patagonia!$C$9</c:f>
              <c:strCache>
                <c:ptCount val="1"/>
                <c:pt idx="0">
                  <c:v>YouTube Weekly Reach: &gt;25%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Patagonia!$F$9:$Q$9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9-404D-8779-16C388C7A243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9-404D-8779-16C388C7A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9-404D-8779-16C388C7A2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Skol!$F$9:$Q$9</c:f>
              <c:numCache>
                <c:formatCode>0%</c:formatCode>
                <c:ptCount val="12"/>
                <c:pt idx="0">
                  <c:v>0.45500000000000002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5-438B-8001-C7CFF06D1D19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25-438B-8001-C7CFF06D1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5-438B-8001-C7CFF06D1D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Artois'!$F$9:$Q$9</c:f>
              <c:numCache>
                <c:formatCode>0%</c:formatCode>
                <c:ptCount val="12"/>
                <c:pt idx="0">
                  <c:v>0.11700000000000001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B-4ABE-BC1A-B1D1571A8269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B-4ABE-BC1A-B1D1571A82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6B-4ABE-BC1A-B1D1571A82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Tonica!$C$9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Tonica!$F$9:$Q$9</c:f>
              <c:numCache>
                <c:formatCode>0%</c:formatCode>
                <c:ptCount val="12"/>
                <c:pt idx="0">
                  <c:v>0.36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4-4965-82D2-00A9AB133259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54-4965-82D2-00A9AB1332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4-4965-82D2-00A9AB1332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Delivery'!$F$9:$Q$9</c:f>
              <c:numCache>
                <c:formatCode>0%</c:formatCode>
                <c:ptCount val="12"/>
                <c:pt idx="0">
                  <c:v>1.7999999999999999E-2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4-4D97-93EC-5B05F442BB10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74-4D97-93EC-5B05F442BB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Corona!$F$3:$Q$3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4-4D97-93EC-5B05F442BB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4239088"/>
        <c:axId val="1924220784"/>
      </c:lineChart>
      <c:catAx>
        <c:axId val="1924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220784"/>
        <c:crosses val="autoZero"/>
        <c:auto val="1"/>
        <c:lblAlgn val="ctr"/>
        <c:lblOffset val="100"/>
        <c:noMultiLvlLbl val="1"/>
      </c:catAx>
      <c:valAx>
        <c:axId val="192422078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242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BEER!$F$9:$Q$9</c:f>
              <c:numCache>
                <c:formatCode>0%</c:formatCode>
                <c:ptCount val="12"/>
                <c:pt idx="0">
                  <c:v>0.25800000000000001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C-4C5E-835B-BEDA0D3E5ACF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C-4C5E-835B-BEDA0D3E5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C-4C5E-835B-BEDA0D3E5A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PORTFOLIO!$C$9</c:f>
              <c:strCache>
                <c:ptCount val="1"/>
                <c:pt idx="0">
                  <c:v>YouTube Weekly Reach: &gt;=30% + 4 Weeks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PORTFOLIO!$F$9:$Q$9</c:f>
              <c:numCache>
                <c:formatCode>0%</c:formatCode>
                <c:ptCount val="12"/>
                <c:pt idx="0">
                  <c:v>0.26200000000000001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reach_yt!#REF!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6C-45BC-9AE6-DD37446311BB}"/>
            </c:ext>
          </c:extLst>
        </c:ser>
        <c:ser>
          <c:idx val="1"/>
          <c:order val="1"/>
          <c:tx>
            <c:strRef>
              <c:f>reach_yt!$Y$7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6C-45BC-9AE6-DD3744631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reach_yt!$Z$8:$Z$19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6C-45BC-9AE6-DD37446311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PORTFOLIO!$C$10</c:f>
              <c:strCache>
                <c:ptCount val="1"/>
                <c:pt idx="0">
                  <c:v>AI Powered Video Reach Campaign + 2 Ad formats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PORTFOLIO!$F$10:$Q$10</c:f>
              <c:numCache>
                <c:formatCode>0%</c:formatCode>
                <c:ptCount val="12"/>
                <c:pt idx="0">
                  <c:v>0.58899999999999997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mix_yt!#REF!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42-48A3-89EC-5E2A873EDC3B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42-48A3-89EC-5E2A873ED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2-48A3-89EC-5E2A873EDC3B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42-48A3-89EC-5E2A873ED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42-48A3-89EC-5E2A873EDC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BEER!#REF!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BEER!#REF!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E-4F2A-B5E8-EF379C32D70C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DE-4F2A-B5E8-EF379C32D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DE-4F2A-B5E8-EF379C32D70C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DE-4F2A-B5E8-EF379C32D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DE-4F2A-B5E8-EF379C32D7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Brahma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Brahma!#REF!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Brahma!#REF!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7-40F6-BBD3-F842EED7816B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17-40F6-BBD3-F842EED78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17-40F6-BBD3-F842EED7816B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17-40F6-BBD3-F842EED78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17-40F6-BBD3-F842EED781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Budweiser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Budweiser!#REF!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Budweiser!#REF!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1-4D6F-8992-F29C81FB673D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A1-4D6F-8992-F29C81FB6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A1-4D6F-8992-F29C81FB673D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A1-4D6F-8992-F29C81FB6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A1-4D6F-8992-F29C81FB67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Corona!#REF!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Corona!#REF!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D-4EDF-B093-807DE5CF14D9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DD-4EDF-B093-807DE5CF1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D-4EDF-B093-807DE5CF14D9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DD-4EDF-B093-807DE5CF1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D-4EDF-B093-807DE5CF14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Spaten!#REF!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Spaten!#REF!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E-4838-8B30-1787A4C626E5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DE-4838-8B30-1787A4C6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DE-4838-8B30-1787A4C626E5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DE-4838-8B30-1787A4C62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DE-4838-8B30-1787A4C626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Beats!#REF!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Beats!#REF!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8-4693-BC7F-40A2E3B3C9B2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B8-4693-BC7F-40A2E3B3C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B8-4693-BC7F-40A2E3B3C9B2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B8-4693-BC7F-40A2E3B3C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B8-4693-BC7F-40A2E3B3C9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Becks!$C$10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Becks!$F$10:$Q$10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B-436A-AA3C-4D61945ED795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6B-436A-AA3C-4D61945ED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B-436A-AA3C-4D61945ED795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6B-436A-AA3C-4D61945ED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6B-436A-AA3C-4D61945ED7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Fusion!#REF!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7-4A05-9BEB-ED7756123EE3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F7-4A05-9BEB-ED7756123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F7-4A05-9BEB-ED7756123EE3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F7-4A05-9BEB-ED7756123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F7-4A05-9BEB-ED7756123E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Guaraná!#REF!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Guaraná!#REF!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C-4F30-AE7A-EE1A9F2C97F6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5C-4F30-AE7A-EE1A9F2C9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5C-4F30-AE7A-EE1A9F2C97F6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5C-4F30-AE7A-EE1A9F2C9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5C-4F30-AE7A-EE1A9F2C97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Institucional!#REF!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Institucional!#REF!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F-4AF3-A095-211617158A0B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6F-4AF3-A095-211617158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F-4AF3-A095-211617158A0B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6F-4AF3-A095-211617158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F-4AF3-A095-211617158A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Michelob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Michelob!$C$10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Michelob!$F$10:$Q$10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E-4F9C-9A90-480D951E9C5A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E-4F9C-9A90-480D951E9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EE-4F9C-9A90-480D951E9C5A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E-4F9C-9A90-480D951E9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EE-4F9C-9A90-480D951E9C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Mikes!#REF!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5-4BFA-A3A7-7A833C9C866A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85-4BFA-A3A7-7A833C9C86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85-4BFA-A3A7-7A833C9C866A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85-4BFA-A3A7-7A833C9C86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85-4BFA-A3A7-7A833C9C86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Patagônia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Patagonia!$C$10</c:f>
              <c:strCache>
                <c:ptCount val="1"/>
                <c:pt idx="0">
                  <c:v>Ideal Mix: video 90% + display 10% (on report: Video%)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Patagonia!$F$10:$Q$10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F-4B8D-88B3-27877C162C96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8F-4B8D-88B3-27877C162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8F-4B8D-88B3-27877C162C96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8F-4B8D-88B3-27877C162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8F-4B8D-88B3-27877C162C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Skol!#REF!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Skol!#REF!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D-4005-B23F-16F26FB0734B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3D-4005-B23F-16F26FB073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D-4005-B23F-16F26FB0734B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3D-4005-B23F-16F26FB073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3D-4005-B23F-16F26FB073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Stella Artois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'Stella Artois'!#REF!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'Stella Artois'!#REF!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4-4DBF-B628-74C5B967CD67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E4-4DBF-B628-74C5B967C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4-4DBF-B628-74C5B967CD67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E4-4DBF-B628-74C5B967C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E4-4DBF-B628-74C5B967CD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Tônica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Tônica!#REF!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Tônica!#REF!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C-4D16-B07F-277A18817DDD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4C-4D16-B07F-277A18817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4C-4D16-B07F-277A18817DDD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4C-4D16-B07F-277A18817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4C-4D16-B07F-277A18817D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Zé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'Zé Delivery'!#REF!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'Zé Delivery'!#REF!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7-4572-8674-88939E3997AB}"/>
            </c:ext>
          </c:extLst>
        </c:ser>
        <c:ser>
          <c:idx val="1"/>
          <c:order val="1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57-4572-8674-88939E399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mix_yt!$Z$8:$Z$19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7-4572-8674-88939E3997AB}"/>
            </c:ext>
          </c:extLst>
        </c:ser>
        <c:ser>
          <c:idx val="2"/>
          <c:order val="2"/>
          <c:tx>
            <c:strRef>
              <c:f>mix_yt!$Y$7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57-4572-8674-88939E399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Brahma!$F$3:$Q$3</c:f>
              <c:strCache>
                <c:ptCount val="12"/>
                <c:pt idx="0">
                  <c:v>Jan/26</c:v>
                </c:pt>
                <c:pt idx="1">
                  <c:v>Feb/26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mix_yt!$AA$8:$AA$19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57-4572-8674-88939E3997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2070432"/>
        <c:axId val="1982070848"/>
      </c:lineChart>
      <c:catAx>
        <c:axId val="19820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070848"/>
        <c:crosses val="autoZero"/>
        <c:auto val="1"/>
        <c:lblAlgn val="ctr"/>
        <c:lblOffset val="100"/>
        <c:noMultiLvlLbl val="1"/>
      </c:catAx>
      <c:valAx>
        <c:axId val="198207084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9820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13" Type="http://schemas.openxmlformats.org/officeDocument/2006/relationships/chart" Target="../charts/chart49.xml"/><Relationship Id="rId18" Type="http://schemas.openxmlformats.org/officeDocument/2006/relationships/chart" Target="../charts/chart5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17" Type="http://schemas.openxmlformats.org/officeDocument/2006/relationships/chart" Target="../charts/chart53.xml"/><Relationship Id="rId2" Type="http://schemas.openxmlformats.org/officeDocument/2006/relationships/chart" Target="../charts/chart38.xml"/><Relationship Id="rId16" Type="http://schemas.openxmlformats.org/officeDocument/2006/relationships/chart" Target="../charts/chart52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5" Type="http://schemas.openxmlformats.org/officeDocument/2006/relationships/chart" Target="../charts/chart5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Relationship Id="rId14" Type="http://schemas.openxmlformats.org/officeDocument/2006/relationships/chart" Target="../charts/chart5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18" Type="http://schemas.openxmlformats.org/officeDocument/2006/relationships/chart" Target="../charts/chart7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17" Type="http://schemas.openxmlformats.org/officeDocument/2006/relationships/chart" Target="../charts/chart71.xml"/><Relationship Id="rId2" Type="http://schemas.openxmlformats.org/officeDocument/2006/relationships/chart" Target="../charts/chart56.xml"/><Relationship Id="rId16" Type="http://schemas.openxmlformats.org/officeDocument/2006/relationships/chart" Target="../charts/chart70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5" Type="http://schemas.openxmlformats.org/officeDocument/2006/relationships/chart" Target="../charts/chart6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Relationship Id="rId14" Type="http://schemas.openxmlformats.org/officeDocument/2006/relationships/chart" Target="../charts/chart6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18" Type="http://schemas.openxmlformats.org/officeDocument/2006/relationships/chart" Target="../charts/chart9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17" Type="http://schemas.openxmlformats.org/officeDocument/2006/relationships/chart" Target="../charts/chart89.xml"/><Relationship Id="rId2" Type="http://schemas.openxmlformats.org/officeDocument/2006/relationships/chart" Target="../charts/chart74.xml"/><Relationship Id="rId16" Type="http://schemas.openxmlformats.org/officeDocument/2006/relationships/chart" Target="../charts/chart88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10" Type="http://schemas.openxmlformats.org/officeDocument/2006/relationships/chart" Target="../charts/chart82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13" Type="http://schemas.openxmlformats.org/officeDocument/2006/relationships/chart" Target="../charts/chart103.xml"/><Relationship Id="rId18" Type="http://schemas.openxmlformats.org/officeDocument/2006/relationships/chart" Target="../charts/chart10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12" Type="http://schemas.openxmlformats.org/officeDocument/2006/relationships/chart" Target="../charts/chart102.xml"/><Relationship Id="rId17" Type="http://schemas.openxmlformats.org/officeDocument/2006/relationships/chart" Target="../charts/chart107.xml"/><Relationship Id="rId2" Type="http://schemas.openxmlformats.org/officeDocument/2006/relationships/chart" Target="../charts/chart92.xml"/><Relationship Id="rId16" Type="http://schemas.openxmlformats.org/officeDocument/2006/relationships/chart" Target="../charts/chart106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11" Type="http://schemas.openxmlformats.org/officeDocument/2006/relationships/chart" Target="../charts/chart101.xml"/><Relationship Id="rId5" Type="http://schemas.openxmlformats.org/officeDocument/2006/relationships/chart" Target="../charts/chart95.xml"/><Relationship Id="rId15" Type="http://schemas.openxmlformats.org/officeDocument/2006/relationships/chart" Target="../charts/chart10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Relationship Id="rId14" Type="http://schemas.openxmlformats.org/officeDocument/2006/relationships/chart" Target="../charts/chart10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13" Type="http://schemas.openxmlformats.org/officeDocument/2006/relationships/chart" Target="../charts/chart121.xml"/><Relationship Id="rId18" Type="http://schemas.openxmlformats.org/officeDocument/2006/relationships/chart" Target="../charts/chart12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12" Type="http://schemas.openxmlformats.org/officeDocument/2006/relationships/chart" Target="../charts/chart120.xml"/><Relationship Id="rId17" Type="http://schemas.openxmlformats.org/officeDocument/2006/relationships/chart" Target="../charts/chart125.xml"/><Relationship Id="rId2" Type="http://schemas.openxmlformats.org/officeDocument/2006/relationships/chart" Target="../charts/chart110.xml"/><Relationship Id="rId16" Type="http://schemas.openxmlformats.org/officeDocument/2006/relationships/chart" Target="../charts/chart124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11" Type="http://schemas.openxmlformats.org/officeDocument/2006/relationships/chart" Target="../charts/chart119.xml"/><Relationship Id="rId5" Type="http://schemas.openxmlformats.org/officeDocument/2006/relationships/chart" Target="../charts/chart113.xml"/><Relationship Id="rId15" Type="http://schemas.openxmlformats.org/officeDocument/2006/relationships/chart" Target="../charts/chart123.xml"/><Relationship Id="rId10" Type="http://schemas.openxmlformats.org/officeDocument/2006/relationships/chart" Target="../charts/chart118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Relationship Id="rId14" Type="http://schemas.openxmlformats.org/officeDocument/2006/relationships/chart" Target="../charts/chart1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E2D6A5-42FB-4C1E-965B-BE8F68987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</xdr:colOff>
      <xdr:row>0</xdr:row>
      <xdr:rowOff>144780</xdr:rowOff>
    </xdr:from>
    <xdr:to>
      <xdr:col>15</xdr:col>
      <xdr:colOff>433863</xdr:colOff>
      <xdr:row>15</xdr:row>
      <xdr:rowOff>138113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8FD6DC-6C90-4749-AFAF-CCD40F3E7B2F}"/>
            </a:ext>
            <a:ext uri="{147F2762-F138-4A5C-976F-8EAC2B608ADB}">
              <a16:predDERef xmlns:a16="http://schemas.microsoft.com/office/drawing/2014/main" pred="{65E2D6A5-42FB-4C1E-965B-BE8F68987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563880</xdr:colOff>
      <xdr:row>0</xdr:row>
      <xdr:rowOff>137160</xdr:rowOff>
    </xdr:from>
    <xdr:to>
      <xdr:col>23</xdr:col>
      <xdr:colOff>243363</xdr:colOff>
      <xdr:row>15</xdr:row>
      <xdr:rowOff>130493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E30C43-D921-4D7B-8D9F-E75296B39609}"/>
            </a:ext>
            <a:ext uri="{147F2762-F138-4A5C-976F-8EAC2B608ADB}">
              <a16:predDERef xmlns:a16="http://schemas.microsoft.com/office/drawing/2014/main" pred="{088FD6DC-6C90-4749-AFAF-CCD40F3E7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335280</xdr:colOff>
      <xdr:row>16</xdr:row>
      <xdr:rowOff>106680</xdr:rowOff>
    </xdr:from>
    <xdr:to>
      <xdr:col>8</xdr:col>
      <xdr:colOff>14763</xdr:colOff>
      <xdr:row>31</xdr:row>
      <xdr:rowOff>100013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A63BCD-6C10-47B3-B60F-4DD25AD7CCB4}"/>
            </a:ext>
            <a:ext uri="{147F2762-F138-4A5C-976F-8EAC2B608ADB}">
              <a16:predDERef xmlns:a16="http://schemas.microsoft.com/office/drawing/2014/main" pred="{7EE30C43-D921-4D7B-8D9F-E75296B39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16</xdr:row>
      <xdr:rowOff>99060</xdr:rowOff>
    </xdr:from>
    <xdr:to>
      <xdr:col>15</xdr:col>
      <xdr:colOff>441483</xdr:colOff>
      <xdr:row>31</xdr:row>
      <xdr:rowOff>92393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141379E-CFFD-472B-AD7D-F4731AB2137B}"/>
            </a:ext>
            <a:ext uri="{147F2762-F138-4A5C-976F-8EAC2B608ADB}">
              <a16:predDERef xmlns:a16="http://schemas.microsoft.com/office/drawing/2014/main" pred="{D8A63BCD-6C10-47B3-B60F-4DD25AD7C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556260</xdr:colOff>
      <xdr:row>16</xdr:row>
      <xdr:rowOff>99060</xdr:rowOff>
    </xdr:from>
    <xdr:to>
      <xdr:col>23</xdr:col>
      <xdr:colOff>235743</xdr:colOff>
      <xdr:row>31</xdr:row>
      <xdr:rowOff>92393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74BCD3-080B-41DB-8B5B-1B1ACC82E739}"/>
            </a:ext>
            <a:ext uri="{147F2762-F138-4A5C-976F-8EAC2B608ADB}">
              <a16:predDERef xmlns:a16="http://schemas.microsoft.com/office/drawing/2014/main" pred="{3141379E-CFFD-472B-AD7D-F4731AB21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335280</xdr:colOff>
      <xdr:row>32</xdr:row>
      <xdr:rowOff>15240</xdr:rowOff>
    </xdr:from>
    <xdr:to>
      <xdr:col>8</xdr:col>
      <xdr:colOff>14763</xdr:colOff>
      <xdr:row>47</xdr:row>
      <xdr:rowOff>8573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074D20C-BB31-4C78-B8C9-8344B793C18C}"/>
            </a:ext>
            <a:ext uri="{147F2762-F138-4A5C-976F-8EAC2B608ADB}">
              <a16:predDERef xmlns:a16="http://schemas.microsoft.com/office/drawing/2014/main" pred="{1274BCD3-080B-41DB-8B5B-1B1ACC82E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137160</xdr:colOff>
      <xdr:row>32</xdr:row>
      <xdr:rowOff>15240</xdr:rowOff>
    </xdr:from>
    <xdr:to>
      <xdr:col>15</xdr:col>
      <xdr:colOff>426243</xdr:colOff>
      <xdr:row>47</xdr:row>
      <xdr:rowOff>8573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B8D8FE0-02FA-410C-BB6D-5ED8051BB4C5}"/>
            </a:ext>
            <a:ext uri="{147F2762-F138-4A5C-976F-8EAC2B608ADB}">
              <a16:predDERef xmlns:a16="http://schemas.microsoft.com/office/drawing/2014/main" pred="{8074D20C-BB31-4C78-B8C9-8344B793C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548640</xdr:colOff>
      <xdr:row>32</xdr:row>
      <xdr:rowOff>15240</xdr:rowOff>
    </xdr:from>
    <xdr:to>
      <xdr:col>23</xdr:col>
      <xdr:colOff>228123</xdr:colOff>
      <xdr:row>47</xdr:row>
      <xdr:rowOff>8573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93A2D65-51E8-4F97-998B-11E33860DAD2}"/>
            </a:ext>
            <a:ext uri="{147F2762-F138-4A5C-976F-8EAC2B608ADB}">
              <a16:predDERef xmlns:a16="http://schemas.microsoft.com/office/drawing/2014/main" pred="{7B8D8FE0-02FA-410C-BB6D-5ED8051BB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327660</xdr:colOff>
      <xdr:row>48</xdr:row>
      <xdr:rowOff>0</xdr:rowOff>
    </xdr:from>
    <xdr:to>
      <xdr:col>8</xdr:col>
      <xdr:colOff>7143</xdr:colOff>
      <xdr:row>62</xdr:row>
      <xdr:rowOff>176213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75D9AB4-2B34-445A-B1B6-1833CBECA157}"/>
            </a:ext>
            <a:ext uri="{147F2762-F138-4A5C-976F-8EAC2B608ADB}">
              <a16:predDERef xmlns:a16="http://schemas.microsoft.com/office/drawing/2014/main" pred="{493A2D65-51E8-4F97-998B-11E33860D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129540</xdr:colOff>
      <xdr:row>48</xdr:row>
      <xdr:rowOff>0</xdr:rowOff>
    </xdr:from>
    <xdr:to>
      <xdr:col>15</xdr:col>
      <xdr:colOff>418623</xdr:colOff>
      <xdr:row>62</xdr:row>
      <xdr:rowOff>176213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B4D6D29-B3EA-4B1F-9887-214886D1FF26}"/>
            </a:ext>
            <a:ext uri="{147F2762-F138-4A5C-976F-8EAC2B608ADB}">
              <a16:predDERef xmlns:a16="http://schemas.microsoft.com/office/drawing/2014/main" pred="{275D9AB4-2B34-445A-B1B6-1833CBECA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541020</xdr:colOff>
      <xdr:row>48</xdr:row>
      <xdr:rowOff>7620</xdr:rowOff>
    </xdr:from>
    <xdr:to>
      <xdr:col>23</xdr:col>
      <xdr:colOff>220503</xdr:colOff>
      <xdr:row>63</xdr:row>
      <xdr:rowOff>953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E4DC020-0743-401E-94D5-8036BDB5DE12}"/>
            </a:ext>
            <a:ext uri="{147F2762-F138-4A5C-976F-8EAC2B608ADB}">
              <a16:predDERef xmlns:a16="http://schemas.microsoft.com/office/drawing/2014/main" pred="{9B4D6D29-B3EA-4B1F-9887-214886D1F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327660</xdr:colOff>
      <xdr:row>63</xdr:row>
      <xdr:rowOff>121920</xdr:rowOff>
    </xdr:from>
    <xdr:to>
      <xdr:col>8</xdr:col>
      <xdr:colOff>7143</xdr:colOff>
      <xdr:row>78</xdr:row>
      <xdr:rowOff>115253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849D681-633B-4E54-8CBB-C7F973C299C2}"/>
            </a:ext>
            <a:ext uri="{147F2762-F138-4A5C-976F-8EAC2B608ADB}">
              <a16:predDERef xmlns:a16="http://schemas.microsoft.com/office/drawing/2014/main" pred="{0E4DC020-0743-401E-94D5-8036BDB5D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129540</xdr:colOff>
      <xdr:row>63</xdr:row>
      <xdr:rowOff>121920</xdr:rowOff>
    </xdr:from>
    <xdr:to>
      <xdr:col>15</xdr:col>
      <xdr:colOff>418623</xdr:colOff>
      <xdr:row>78</xdr:row>
      <xdr:rowOff>115253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D729A89-D202-4558-9E59-0C2E9303BDEE}"/>
            </a:ext>
            <a:ext uri="{147F2762-F138-4A5C-976F-8EAC2B608ADB}">
              <a16:predDERef xmlns:a16="http://schemas.microsoft.com/office/drawing/2014/main" pred="{7849D681-633B-4E54-8CBB-C7F973C29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533400</xdr:colOff>
      <xdr:row>63</xdr:row>
      <xdr:rowOff>106680</xdr:rowOff>
    </xdr:from>
    <xdr:to>
      <xdr:col>23</xdr:col>
      <xdr:colOff>212883</xdr:colOff>
      <xdr:row>78</xdr:row>
      <xdr:rowOff>100013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754D4D6-69C9-4BA6-9EB5-6087388ADB02}"/>
            </a:ext>
            <a:ext uri="{147F2762-F138-4A5C-976F-8EAC2B608ADB}">
              <a16:predDERef xmlns:a16="http://schemas.microsoft.com/office/drawing/2014/main" pred="{9D729A89-D202-4558-9E59-0C2E9303B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342900</xdr:colOff>
      <xdr:row>79</xdr:row>
      <xdr:rowOff>45720</xdr:rowOff>
    </xdr:from>
    <xdr:to>
      <xdr:col>8</xdr:col>
      <xdr:colOff>22383</xdr:colOff>
      <xdr:row>94</xdr:row>
      <xdr:rowOff>39053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BEA7047-8AD3-4FB1-BA00-CE6EBD5ABF4D}"/>
            </a:ext>
            <a:ext uri="{147F2762-F138-4A5C-976F-8EAC2B608ADB}">
              <a16:predDERef xmlns:a16="http://schemas.microsoft.com/office/drawing/2014/main" pred="{B754D4D6-69C9-4BA6-9EB5-6087388AD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129540</xdr:colOff>
      <xdr:row>79</xdr:row>
      <xdr:rowOff>45720</xdr:rowOff>
    </xdr:from>
    <xdr:to>
      <xdr:col>15</xdr:col>
      <xdr:colOff>418623</xdr:colOff>
      <xdr:row>94</xdr:row>
      <xdr:rowOff>39053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60AD266-648F-4969-8D6F-4094CFB56092}"/>
            </a:ext>
            <a:ext uri="{147F2762-F138-4A5C-976F-8EAC2B608ADB}">
              <a16:predDERef xmlns:a16="http://schemas.microsoft.com/office/drawing/2014/main" pred="{8BEA7047-8AD3-4FB1-BA00-CE6EBD5AB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541020</xdr:colOff>
      <xdr:row>79</xdr:row>
      <xdr:rowOff>53340</xdr:rowOff>
    </xdr:from>
    <xdr:to>
      <xdr:col>23</xdr:col>
      <xdr:colOff>220503</xdr:colOff>
      <xdr:row>94</xdr:row>
      <xdr:rowOff>46673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50F8D38-3038-4A6A-BA3C-10B222FAED6A}"/>
            </a:ext>
            <a:ext uri="{147F2762-F138-4A5C-976F-8EAC2B608ADB}">
              <a16:predDERef xmlns:a16="http://schemas.microsoft.com/office/drawing/2014/main" pred="{E60AD266-648F-4969-8D6F-4094CFB56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1</xdr:row>
      <xdr:rowOff>161925</xdr:rowOff>
    </xdr:from>
    <xdr:to>
      <xdr:col>23</xdr:col>
      <xdr:colOff>252888</xdr:colOff>
      <xdr:row>16</xdr:row>
      <xdr:rowOff>153353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1CA848-22B1-4C63-ACF4-DC7E980C1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17</xdr:row>
      <xdr:rowOff>85725</xdr:rowOff>
    </xdr:from>
    <xdr:to>
      <xdr:col>8</xdr:col>
      <xdr:colOff>9525</xdr:colOff>
      <xdr:row>32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008EAC1-2343-41FB-BC1C-237AD394E75B}"/>
            </a:ext>
            <a:ext uri="{147F2762-F138-4A5C-976F-8EAC2B608ADB}">
              <a16:predDERef xmlns:a16="http://schemas.microsoft.com/office/drawing/2014/main" pred="{F31CA848-22B1-4C63-ACF4-DC7E980C1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17</xdr:row>
      <xdr:rowOff>95250</xdr:rowOff>
    </xdr:from>
    <xdr:to>
      <xdr:col>15</xdr:col>
      <xdr:colOff>464820</xdr:colOff>
      <xdr:row>32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6AB54C-6D7D-4FF8-9B34-95826628FF63}"/>
            </a:ext>
            <a:ext uri="{147F2762-F138-4A5C-976F-8EAC2B608ADB}">
              <a16:predDERef xmlns:a16="http://schemas.microsoft.com/office/drawing/2014/main" pred="{E008EAC1-2343-41FB-BC1C-237AD394E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17</xdr:row>
      <xdr:rowOff>104775</xdr:rowOff>
    </xdr:from>
    <xdr:to>
      <xdr:col>23</xdr:col>
      <xdr:colOff>272415</xdr:colOff>
      <xdr:row>32</xdr:row>
      <xdr:rowOff>120015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9938DA-0E67-4CA8-B1B4-7865C8BACE4E}"/>
            </a:ext>
            <a:ext uri="{147F2762-F138-4A5C-976F-8EAC2B608ADB}">
              <a16:predDERef xmlns:a16="http://schemas.microsoft.com/office/drawing/2014/main" pred="{0D6AB54C-6D7D-4FF8-9B34-95826628F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33</xdr:row>
      <xdr:rowOff>38100</xdr:rowOff>
    </xdr:from>
    <xdr:to>
      <xdr:col>8</xdr:col>
      <xdr:colOff>9525</xdr:colOff>
      <xdr:row>48</xdr:row>
      <xdr:rowOff>64770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284B644-A79A-43F1-8DB6-CDDEA29297AB}"/>
            </a:ext>
            <a:ext uri="{147F2762-F138-4A5C-976F-8EAC2B608ADB}">
              <a16:predDERef xmlns:a16="http://schemas.microsoft.com/office/drawing/2014/main" pred="{329938DA-0E67-4CA8-B1B4-7865C8BAC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142875</xdr:colOff>
      <xdr:row>33</xdr:row>
      <xdr:rowOff>47625</xdr:rowOff>
    </xdr:from>
    <xdr:to>
      <xdr:col>15</xdr:col>
      <xdr:colOff>468630</xdr:colOff>
      <xdr:row>48</xdr:row>
      <xdr:rowOff>68580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E46A9DE-C1F6-4470-9A1B-BAFA07448B3B}"/>
            </a:ext>
            <a:ext uri="{147F2762-F138-4A5C-976F-8EAC2B608ADB}">
              <a16:predDERef xmlns:a16="http://schemas.microsoft.com/office/drawing/2014/main" pred="{D284B644-A79A-43F1-8DB6-CDDEA2929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571500</xdr:colOff>
      <xdr:row>33</xdr:row>
      <xdr:rowOff>47625</xdr:rowOff>
    </xdr:from>
    <xdr:to>
      <xdr:col>23</xdr:col>
      <xdr:colOff>291465</xdr:colOff>
      <xdr:row>48</xdr:row>
      <xdr:rowOff>64770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0A4679F-EF1B-44FB-B7BE-948BFA83CF11}"/>
            </a:ext>
            <a:ext uri="{147F2762-F138-4A5C-976F-8EAC2B608ADB}">
              <a16:predDERef xmlns:a16="http://schemas.microsoft.com/office/drawing/2014/main" pred="{DE46A9DE-C1F6-4470-9A1B-BAFA07448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48</xdr:row>
      <xdr:rowOff>171450</xdr:rowOff>
    </xdr:from>
    <xdr:to>
      <xdr:col>8</xdr:col>
      <xdr:colOff>5715</xdr:colOff>
      <xdr:row>64</xdr:row>
      <xdr:rowOff>1905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02EC496-F596-46F3-9771-E69A19A14680}"/>
            </a:ext>
            <a:ext uri="{147F2762-F138-4A5C-976F-8EAC2B608ADB}">
              <a16:predDERef xmlns:a16="http://schemas.microsoft.com/office/drawing/2014/main" pred="{40A4679F-EF1B-44FB-B7BE-948BFA83C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139065</xdr:colOff>
      <xdr:row>48</xdr:row>
      <xdr:rowOff>158115</xdr:rowOff>
    </xdr:from>
    <xdr:to>
      <xdr:col>15</xdr:col>
      <xdr:colOff>468630</xdr:colOff>
      <xdr:row>64</xdr:row>
      <xdr:rowOff>5715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6A0C41A-C6BA-4878-AFB0-6344E070251B}"/>
            </a:ext>
            <a:ext uri="{147F2762-F138-4A5C-976F-8EAC2B608ADB}">
              <a16:predDERef xmlns:a16="http://schemas.microsoft.com/office/drawing/2014/main" pred="{202EC496-F596-46F3-9771-E69A19A14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571500</xdr:colOff>
      <xdr:row>48</xdr:row>
      <xdr:rowOff>161925</xdr:rowOff>
    </xdr:from>
    <xdr:to>
      <xdr:col>23</xdr:col>
      <xdr:colOff>302895</xdr:colOff>
      <xdr:row>63</xdr:row>
      <xdr:rowOff>179070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F013BFD-2BDA-4DCD-A33A-9097B3ABD39A}"/>
            </a:ext>
            <a:ext uri="{147F2762-F138-4A5C-976F-8EAC2B608ADB}">
              <a16:predDERef xmlns:a16="http://schemas.microsoft.com/office/drawing/2014/main" pred="{E6A0C41A-C6BA-4878-AFB0-6344E0702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295275</xdr:colOff>
      <xdr:row>64</xdr:row>
      <xdr:rowOff>85725</xdr:rowOff>
    </xdr:from>
    <xdr:to>
      <xdr:col>8</xdr:col>
      <xdr:colOff>5715</xdr:colOff>
      <xdr:row>79</xdr:row>
      <xdr:rowOff>104775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D33005D-4AF8-4485-8646-FEEE989BE45C}"/>
            </a:ext>
            <a:ext uri="{147F2762-F138-4A5C-976F-8EAC2B608ADB}">
              <a16:predDERef xmlns:a16="http://schemas.microsoft.com/office/drawing/2014/main" pred="{EF013BFD-2BDA-4DCD-A33A-9097B3ABD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133350</xdr:colOff>
      <xdr:row>64</xdr:row>
      <xdr:rowOff>95250</xdr:rowOff>
    </xdr:from>
    <xdr:to>
      <xdr:col>15</xdr:col>
      <xdr:colOff>453390</xdr:colOff>
      <xdr:row>79</xdr:row>
      <xdr:rowOff>114300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52145D3-2F4C-4309-8BD0-4E4EBC462643}"/>
            </a:ext>
            <a:ext uri="{147F2762-F138-4A5C-976F-8EAC2B608ADB}">
              <a16:predDERef xmlns:a16="http://schemas.microsoft.com/office/drawing/2014/main" pred="{4D33005D-4AF8-4485-8646-FEEE989BE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571500</xdr:colOff>
      <xdr:row>64</xdr:row>
      <xdr:rowOff>95250</xdr:rowOff>
    </xdr:from>
    <xdr:to>
      <xdr:col>23</xdr:col>
      <xdr:colOff>281940</xdr:colOff>
      <xdr:row>79</xdr:row>
      <xdr:rowOff>114300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E752747-6417-4F3E-8DE9-788BCBA08C62}"/>
            </a:ext>
            <a:ext uri="{147F2762-F138-4A5C-976F-8EAC2B608ADB}">
              <a16:predDERef xmlns:a16="http://schemas.microsoft.com/office/drawing/2014/main" pred="{352145D3-2F4C-4309-8BD0-4E4EBC462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295275</xdr:colOff>
      <xdr:row>80</xdr:row>
      <xdr:rowOff>38100</xdr:rowOff>
    </xdr:from>
    <xdr:to>
      <xdr:col>8</xdr:col>
      <xdr:colOff>5715</xdr:colOff>
      <xdr:row>95</xdr:row>
      <xdr:rowOff>57150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D5171-28C6-4AC0-898E-7978D08D11F8}"/>
            </a:ext>
            <a:ext uri="{147F2762-F138-4A5C-976F-8EAC2B608ADB}">
              <a16:predDERef xmlns:a16="http://schemas.microsoft.com/office/drawing/2014/main" pred="{FE752747-6417-4F3E-8DE9-788BCBA08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133350</xdr:colOff>
      <xdr:row>80</xdr:row>
      <xdr:rowOff>47625</xdr:rowOff>
    </xdr:from>
    <xdr:to>
      <xdr:col>15</xdr:col>
      <xdr:colOff>453390</xdr:colOff>
      <xdr:row>95</xdr:row>
      <xdr:rowOff>66675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E6B144A-C564-45A5-B915-AC57F38303F7}"/>
            </a:ext>
            <a:ext uri="{147F2762-F138-4A5C-976F-8EAC2B608ADB}">
              <a16:predDERef xmlns:a16="http://schemas.microsoft.com/office/drawing/2014/main" pred="{749D5171-28C6-4AC0-898E-7978D08D1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552450</xdr:colOff>
      <xdr:row>80</xdr:row>
      <xdr:rowOff>38100</xdr:rowOff>
    </xdr:from>
    <xdr:to>
      <xdr:col>23</xdr:col>
      <xdr:colOff>262890</xdr:colOff>
      <xdr:row>95</xdr:row>
      <xdr:rowOff>57150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239506A-5A72-4EB5-8449-0A00C3553FB1}"/>
            </a:ext>
            <a:ext uri="{147F2762-F138-4A5C-976F-8EAC2B608ADB}">
              <a16:predDERef xmlns:a16="http://schemas.microsoft.com/office/drawing/2014/main" pred="{4E6B144A-C564-45A5-B915-AC57F3830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152400</xdr:colOff>
      <xdr:row>2</xdr:row>
      <xdr:rowOff>0</xdr:rowOff>
    </xdr:from>
    <xdr:to>
      <xdr:col>15</xdr:col>
      <xdr:colOff>447198</xdr:colOff>
      <xdr:row>16</xdr:row>
      <xdr:rowOff>174308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78029F5-7B14-4D5F-BDC6-9F76787CB497}"/>
            </a:ext>
            <a:ext uri="{147F2762-F138-4A5C-976F-8EAC2B608ADB}">
              <a16:predDERef xmlns:a16="http://schemas.microsoft.com/office/drawing/2014/main" pred="{0239506A-5A72-4EB5-8449-0A00C3553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333375</xdr:colOff>
      <xdr:row>1</xdr:row>
      <xdr:rowOff>161925</xdr:rowOff>
    </xdr:from>
    <xdr:to>
      <xdr:col>8</xdr:col>
      <xdr:colOff>12858</xdr:colOff>
      <xdr:row>16</xdr:row>
      <xdr:rowOff>155258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9A35A0D-233B-4D17-8F42-08600F19F68E}"/>
            </a:ext>
            <a:ext uri="{147F2762-F138-4A5C-976F-8EAC2B608ADB}">
              <a16:predDERef xmlns:a16="http://schemas.microsoft.com/office/drawing/2014/main" pred="{678029F5-7B14-4D5F-BDC6-9F76787CB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0</xdr:row>
      <xdr:rowOff>161925</xdr:rowOff>
    </xdr:from>
    <xdr:to>
      <xdr:col>23</xdr:col>
      <xdr:colOff>252888</xdr:colOff>
      <xdr:row>15</xdr:row>
      <xdr:rowOff>153353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369236-B598-45B2-8F3A-A8A993989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16</xdr:row>
      <xdr:rowOff>85725</xdr:rowOff>
    </xdr:from>
    <xdr:to>
      <xdr:col>8</xdr:col>
      <xdr:colOff>9525</xdr:colOff>
      <xdr:row>31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1CDE3D-E573-4E7E-A919-56A209C86914}"/>
            </a:ext>
            <a:ext uri="{147F2762-F138-4A5C-976F-8EAC2B608ADB}">
              <a16:predDERef xmlns:a16="http://schemas.microsoft.com/office/drawing/2014/main" pred="{5E369236-B598-45B2-8F3A-A8A993989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16</xdr:row>
      <xdr:rowOff>95250</xdr:rowOff>
    </xdr:from>
    <xdr:to>
      <xdr:col>15</xdr:col>
      <xdr:colOff>464820</xdr:colOff>
      <xdr:row>31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8FFAAB-43E2-4AFF-8EE5-D033AD18150F}"/>
            </a:ext>
            <a:ext uri="{147F2762-F138-4A5C-976F-8EAC2B608ADB}">
              <a16:predDERef xmlns:a16="http://schemas.microsoft.com/office/drawing/2014/main" pred="{331CDE3D-E573-4E7E-A919-56A209C86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16</xdr:row>
      <xdr:rowOff>104775</xdr:rowOff>
    </xdr:from>
    <xdr:to>
      <xdr:col>23</xdr:col>
      <xdr:colOff>272415</xdr:colOff>
      <xdr:row>31</xdr:row>
      <xdr:rowOff>120015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6637ED-718B-4D89-BE8F-3658C4567466}"/>
            </a:ext>
            <a:ext uri="{147F2762-F138-4A5C-976F-8EAC2B608ADB}">
              <a16:predDERef xmlns:a16="http://schemas.microsoft.com/office/drawing/2014/main" pred="{E98FFAAB-43E2-4AFF-8EE5-D033AD181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32</xdr:row>
      <xdr:rowOff>38100</xdr:rowOff>
    </xdr:from>
    <xdr:to>
      <xdr:col>8</xdr:col>
      <xdr:colOff>9525</xdr:colOff>
      <xdr:row>47</xdr:row>
      <xdr:rowOff>64770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A14AB6C-18D3-4433-9152-7B7F9013A07B}"/>
            </a:ext>
            <a:ext uri="{147F2762-F138-4A5C-976F-8EAC2B608ADB}">
              <a16:predDERef xmlns:a16="http://schemas.microsoft.com/office/drawing/2014/main" pred="{A96637ED-718B-4D89-BE8F-3658C4567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142875</xdr:colOff>
      <xdr:row>32</xdr:row>
      <xdr:rowOff>47625</xdr:rowOff>
    </xdr:from>
    <xdr:to>
      <xdr:col>15</xdr:col>
      <xdr:colOff>468630</xdr:colOff>
      <xdr:row>47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6BC6B57-3FEA-4F85-8825-7667856FFDDA}"/>
            </a:ext>
            <a:ext uri="{147F2762-F138-4A5C-976F-8EAC2B608ADB}">
              <a16:predDERef xmlns:a16="http://schemas.microsoft.com/office/drawing/2014/main" pred="{AA14AB6C-18D3-4433-9152-7B7F9013A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571500</xdr:colOff>
      <xdr:row>32</xdr:row>
      <xdr:rowOff>47625</xdr:rowOff>
    </xdr:from>
    <xdr:to>
      <xdr:col>23</xdr:col>
      <xdr:colOff>291465</xdr:colOff>
      <xdr:row>47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CCF405B-5BC8-4D90-BEB5-C51766E280BF}"/>
            </a:ext>
            <a:ext uri="{147F2762-F138-4A5C-976F-8EAC2B608ADB}">
              <a16:predDERef xmlns:a16="http://schemas.microsoft.com/office/drawing/2014/main" pred="{46BC6B57-3FEA-4F85-8825-7667856FF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47</xdr:row>
      <xdr:rowOff>171450</xdr:rowOff>
    </xdr:from>
    <xdr:to>
      <xdr:col>8</xdr:col>
      <xdr:colOff>5715</xdr:colOff>
      <xdr:row>63</xdr:row>
      <xdr:rowOff>1905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587CABD-C445-4093-8245-FBF3A938CDE3}"/>
            </a:ext>
            <a:ext uri="{147F2762-F138-4A5C-976F-8EAC2B608ADB}">
              <a16:predDERef xmlns:a16="http://schemas.microsoft.com/office/drawing/2014/main" pred="{4CCF405B-5BC8-4D90-BEB5-C51766E28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139065</xdr:colOff>
      <xdr:row>47</xdr:row>
      <xdr:rowOff>158115</xdr:rowOff>
    </xdr:from>
    <xdr:to>
      <xdr:col>15</xdr:col>
      <xdr:colOff>468630</xdr:colOff>
      <xdr:row>63</xdr:row>
      <xdr:rowOff>5715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66574AF-5EDF-49D7-A437-ABB613413881}"/>
            </a:ext>
            <a:ext uri="{147F2762-F138-4A5C-976F-8EAC2B608ADB}">
              <a16:predDERef xmlns:a16="http://schemas.microsoft.com/office/drawing/2014/main" pred="{3587CABD-C445-4093-8245-FBF3A938C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571500</xdr:colOff>
      <xdr:row>47</xdr:row>
      <xdr:rowOff>161925</xdr:rowOff>
    </xdr:from>
    <xdr:to>
      <xdr:col>23</xdr:col>
      <xdr:colOff>302895</xdr:colOff>
      <xdr:row>62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D07B577-720C-42DE-AFA1-48491F45C333}"/>
            </a:ext>
            <a:ext uri="{147F2762-F138-4A5C-976F-8EAC2B608ADB}">
              <a16:predDERef xmlns:a16="http://schemas.microsoft.com/office/drawing/2014/main" pred="{566574AF-5EDF-49D7-A437-ABB613413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295275</xdr:colOff>
      <xdr:row>63</xdr:row>
      <xdr:rowOff>85725</xdr:rowOff>
    </xdr:from>
    <xdr:to>
      <xdr:col>8</xdr:col>
      <xdr:colOff>5715</xdr:colOff>
      <xdr:row>78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60A1BF6-9BFA-4A6F-B9A1-2A9974668A29}"/>
            </a:ext>
            <a:ext uri="{147F2762-F138-4A5C-976F-8EAC2B608ADB}">
              <a16:predDERef xmlns:a16="http://schemas.microsoft.com/office/drawing/2014/main" pred="{4D07B577-720C-42DE-AFA1-48491F45C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133350</xdr:colOff>
      <xdr:row>63</xdr:row>
      <xdr:rowOff>95250</xdr:rowOff>
    </xdr:from>
    <xdr:to>
      <xdr:col>15</xdr:col>
      <xdr:colOff>453390</xdr:colOff>
      <xdr:row>78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18B50B0-8208-4230-AEAB-48AD7B24F333}"/>
            </a:ext>
            <a:ext uri="{147F2762-F138-4A5C-976F-8EAC2B608ADB}">
              <a16:predDERef xmlns:a16="http://schemas.microsoft.com/office/drawing/2014/main" pred="{960A1BF6-9BFA-4A6F-B9A1-2A9974668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571500</xdr:colOff>
      <xdr:row>63</xdr:row>
      <xdr:rowOff>95250</xdr:rowOff>
    </xdr:from>
    <xdr:to>
      <xdr:col>23</xdr:col>
      <xdr:colOff>281940</xdr:colOff>
      <xdr:row>78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6A6A97F-6724-4EB1-AF63-C902C769334D}"/>
            </a:ext>
            <a:ext uri="{147F2762-F138-4A5C-976F-8EAC2B608ADB}">
              <a16:predDERef xmlns:a16="http://schemas.microsoft.com/office/drawing/2014/main" pred="{718B50B0-8208-4230-AEAB-48AD7B24F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295275</xdr:colOff>
      <xdr:row>79</xdr:row>
      <xdr:rowOff>38100</xdr:rowOff>
    </xdr:from>
    <xdr:to>
      <xdr:col>8</xdr:col>
      <xdr:colOff>5715</xdr:colOff>
      <xdr:row>94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7E3EC6E-4DDD-4C3B-9DE7-AC5AA9F975B1}"/>
            </a:ext>
            <a:ext uri="{147F2762-F138-4A5C-976F-8EAC2B608ADB}">
              <a16:predDERef xmlns:a16="http://schemas.microsoft.com/office/drawing/2014/main" pred="{E6A6A97F-6724-4EB1-AF63-C902C7693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133350</xdr:colOff>
      <xdr:row>79</xdr:row>
      <xdr:rowOff>47625</xdr:rowOff>
    </xdr:from>
    <xdr:to>
      <xdr:col>15</xdr:col>
      <xdr:colOff>453390</xdr:colOff>
      <xdr:row>94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58CEDF9-9BBD-4A8C-ACC7-A62D5E481A24}"/>
            </a:ext>
            <a:ext uri="{147F2762-F138-4A5C-976F-8EAC2B608ADB}">
              <a16:predDERef xmlns:a16="http://schemas.microsoft.com/office/drawing/2014/main" pred="{D7E3EC6E-4DDD-4C3B-9DE7-AC5AA9F97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552450</xdr:colOff>
      <xdr:row>79</xdr:row>
      <xdr:rowOff>38100</xdr:rowOff>
    </xdr:from>
    <xdr:to>
      <xdr:col>23</xdr:col>
      <xdr:colOff>262890</xdr:colOff>
      <xdr:row>94</xdr:row>
      <xdr:rowOff>57150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6AC6547-31D9-4B00-89DA-118F915E9573}"/>
            </a:ext>
            <a:ext uri="{147F2762-F138-4A5C-976F-8EAC2B608ADB}">
              <a16:predDERef xmlns:a16="http://schemas.microsoft.com/office/drawing/2014/main" pred="{E58CEDF9-9BBD-4A8C-ACC7-A62D5E481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152400</xdr:colOff>
      <xdr:row>1</xdr:row>
      <xdr:rowOff>0</xdr:rowOff>
    </xdr:from>
    <xdr:to>
      <xdr:col>15</xdr:col>
      <xdr:colOff>447198</xdr:colOff>
      <xdr:row>15</xdr:row>
      <xdr:rowOff>174308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67342C4-E444-431C-8FD1-46B2CA8FD2DC}"/>
            </a:ext>
            <a:ext uri="{147F2762-F138-4A5C-976F-8EAC2B608ADB}">
              <a16:predDERef xmlns:a16="http://schemas.microsoft.com/office/drawing/2014/main" pred="{36AC6547-31D9-4B00-89DA-118F915E9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942F41E-234E-4C7A-AC57-EE27C914D52E}"/>
            </a:ext>
            <a:ext uri="{147F2762-F138-4A5C-976F-8EAC2B608ADB}">
              <a16:predDERef xmlns:a16="http://schemas.microsoft.com/office/drawing/2014/main" pred="{A67342C4-E444-431C-8FD1-46B2CA8FD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0</xdr:row>
      <xdr:rowOff>161925</xdr:rowOff>
    </xdr:from>
    <xdr:to>
      <xdr:col>23</xdr:col>
      <xdr:colOff>252888</xdr:colOff>
      <xdr:row>15</xdr:row>
      <xdr:rowOff>153353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53E0D5-8785-4F2B-A4D7-C14ACFBF3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16</xdr:row>
      <xdr:rowOff>85725</xdr:rowOff>
    </xdr:from>
    <xdr:to>
      <xdr:col>8</xdr:col>
      <xdr:colOff>9525</xdr:colOff>
      <xdr:row>31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B290F0-13AD-4FB6-AA11-D448B7CC7C6B}"/>
            </a:ext>
            <a:ext uri="{147F2762-F138-4A5C-976F-8EAC2B608ADB}">
              <a16:predDERef xmlns:a16="http://schemas.microsoft.com/office/drawing/2014/main" pred="{FC53E0D5-8785-4F2B-A4D7-C14ACFBF3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16</xdr:row>
      <xdr:rowOff>95250</xdr:rowOff>
    </xdr:from>
    <xdr:to>
      <xdr:col>15</xdr:col>
      <xdr:colOff>464820</xdr:colOff>
      <xdr:row>31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03156E-E2B3-4295-925E-4BA42B1E21E1}"/>
            </a:ext>
            <a:ext uri="{147F2762-F138-4A5C-976F-8EAC2B608ADB}">
              <a16:predDERef xmlns:a16="http://schemas.microsoft.com/office/drawing/2014/main" pred="{32B290F0-13AD-4FB6-AA11-D448B7CC7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16</xdr:row>
      <xdr:rowOff>104775</xdr:rowOff>
    </xdr:from>
    <xdr:to>
      <xdr:col>23</xdr:col>
      <xdr:colOff>272415</xdr:colOff>
      <xdr:row>31</xdr:row>
      <xdr:rowOff>120015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307DA3-BB47-41C2-B19E-AECCDE8837C2}"/>
            </a:ext>
            <a:ext uri="{147F2762-F138-4A5C-976F-8EAC2B608ADB}">
              <a16:predDERef xmlns:a16="http://schemas.microsoft.com/office/drawing/2014/main" pred="{EF03156E-E2B3-4295-925E-4BA42B1E2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32</xdr:row>
      <xdr:rowOff>38100</xdr:rowOff>
    </xdr:from>
    <xdr:to>
      <xdr:col>8</xdr:col>
      <xdr:colOff>9525</xdr:colOff>
      <xdr:row>47</xdr:row>
      <xdr:rowOff>64770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1DDB3B-CFAA-473A-90F1-32A50296F857}"/>
            </a:ext>
            <a:ext uri="{147F2762-F138-4A5C-976F-8EAC2B608ADB}">
              <a16:predDERef xmlns:a16="http://schemas.microsoft.com/office/drawing/2014/main" pred="{0E307DA3-BB47-41C2-B19E-AECCDE883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142875</xdr:colOff>
      <xdr:row>32</xdr:row>
      <xdr:rowOff>47625</xdr:rowOff>
    </xdr:from>
    <xdr:to>
      <xdr:col>15</xdr:col>
      <xdr:colOff>468630</xdr:colOff>
      <xdr:row>47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DDF5E30-DCE2-42E1-9954-3D5EEB817FBE}"/>
            </a:ext>
            <a:ext uri="{147F2762-F138-4A5C-976F-8EAC2B608ADB}">
              <a16:predDERef xmlns:a16="http://schemas.microsoft.com/office/drawing/2014/main" pred="{071DDB3B-CFAA-473A-90F1-32A50296F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571500</xdr:colOff>
      <xdr:row>32</xdr:row>
      <xdr:rowOff>47625</xdr:rowOff>
    </xdr:from>
    <xdr:to>
      <xdr:col>23</xdr:col>
      <xdr:colOff>291465</xdr:colOff>
      <xdr:row>47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3DFA628-6D6D-4D8E-A20F-2AFCD6F63C3C}"/>
            </a:ext>
            <a:ext uri="{147F2762-F138-4A5C-976F-8EAC2B608ADB}">
              <a16:predDERef xmlns:a16="http://schemas.microsoft.com/office/drawing/2014/main" pred="{BDDF5E30-DCE2-42E1-9954-3D5EEB817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47</xdr:row>
      <xdr:rowOff>171450</xdr:rowOff>
    </xdr:from>
    <xdr:to>
      <xdr:col>8</xdr:col>
      <xdr:colOff>5715</xdr:colOff>
      <xdr:row>63</xdr:row>
      <xdr:rowOff>1905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79D73CE-2668-43C8-97CE-95653764FBE9}"/>
            </a:ext>
            <a:ext uri="{147F2762-F138-4A5C-976F-8EAC2B608ADB}">
              <a16:predDERef xmlns:a16="http://schemas.microsoft.com/office/drawing/2014/main" pred="{03DFA628-6D6D-4D8E-A20F-2AFCD6F63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139065</xdr:colOff>
      <xdr:row>47</xdr:row>
      <xdr:rowOff>158115</xdr:rowOff>
    </xdr:from>
    <xdr:to>
      <xdr:col>15</xdr:col>
      <xdr:colOff>468630</xdr:colOff>
      <xdr:row>63</xdr:row>
      <xdr:rowOff>5715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F8F8B2E-5DC9-4D1F-9137-320267E9E6EA}"/>
            </a:ext>
            <a:ext uri="{147F2762-F138-4A5C-976F-8EAC2B608ADB}">
              <a16:predDERef xmlns:a16="http://schemas.microsoft.com/office/drawing/2014/main" pred="{079D73CE-2668-43C8-97CE-95653764F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571500</xdr:colOff>
      <xdr:row>47</xdr:row>
      <xdr:rowOff>161925</xdr:rowOff>
    </xdr:from>
    <xdr:to>
      <xdr:col>23</xdr:col>
      <xdr:colOff>302895</xdr:colOff>
      <xdr:row>62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E308109-7E3B-4694-8314-B5F73E170D51}"/>
            </a:ext>
            <a:ext uri="{147F2762-F138-4A5C-976F-8EAC2B608ADB}">
              <a16:predDERef xmlns:a16="http://schemas.microsoft.com/office/drawing/2014/main" pred="{3F8F8B2E-5DC9-4D1F-9137-320267E9E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295275</xdr:colOff>
      <xdr:row>63</xdr:row>
      <xdr:rowOff>85725</xdr:rowOff>
    </xdr:from>
    <xdr:to>
      <xdr:col>8</xdr:col>
      <xdr:colOff>5715</xdr:colOff>
      <xdr:row>78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9BA99F5-9404-4020-8BBC-F8867374F501}"/>
            </a:ext>
            <a:ext uri="{147F2762-F138-4A5C-976F-8EAC2B608ADB}">
              <a16:predDERef xmlns:a16="http://schemas.microsoft.com/office/drawing/2014/main" pred="{AE308109-7E3B-4694-8314-B5F73E170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133350</xdr:colOff>
      <xdr:row>63</xdr:row>
      <xdr:rowOff>95250</xdr:rowOff>
    </xdr:from>
    <xdr:to>
      <xdr:col>15</xdr:col>
      <xdr:colOff>453390</xdr:colOff>
      <xdr:row>78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37C1390-EB29-4710-A1BF-8CD4B8046620}"/>
            </a:ext>
            <a:ext uri="{147F2762-F138-4A5C-976F-8EAC2B608ADB}">
              <a16:predDERef xmlns:a16="http://schemas.microsoft.com/office/drawing/2014/main" pred="{A9BA99F5-9404-4020-8BBC-F8867374F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571500</xdr:colOff>
      <xdr:row>63</xdr:row>
      <xdr:rowOff>95250</xdr:rowOff>
    </xdr:from>
    <xdr:to>
      <xdr:col>23</xdr:col>
      <xdr:colOff>281940</xdr:colOff>
      <xdr:row>78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8A40179-0D52-4428-843C-359780012717}"/>
            </a:ext>
            <a:ext uri="{147F2762-F138-4A5C-976F-8EAC2B608ADB}">
              <a16:predDERef xmlns:a16="http://schemas.microsoft.com/office/drawing/2014/main" pred="{637C1390-EB29-4710-A1BF-8CD4B8046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295275</xdr:colOff>
      <xdr:row>79</xdr:row>
      <xdr:rowOff>38100</xdr:rowOff>
    </xdr:from>
    <xdr:to>
      <xdr:col>8</xdr:col>
      <xdr:colOff>5715</xdr:colOff>
      <xdr:row>94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FDB8918-81F3-4683-838A-D22C3C98FB3C}"/>
            </a:ext>
            <a:ext uri="{147F2762-F138-4A5C-976F-8EAC2B608ADB}">
              <a16:predDERef xmlns:a16="http://schemas.microsoft.com/office/drawing/2014/main" pred="{68A40179-0D52-4428-843C-359780012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133350</xdr:colOff>
      <xdr:row>79</xdr:row>
      <xdr:rowOff>47625</xdr:rowOff>
    </xdr:from>
    <xdr:to>
      <xdr:col>15</xdr:col>
      <xdr:colOff>453390</xdr:colOff>
      <xdr:row>94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8F79FA5-13CA-4A12-9D6E-9A2D6176CDFF}"/>
            </a:ext>
            <a:ext uri="{147F2762-F138-4A5C-976F-8EAC2B608ADB}">
              <a16:predDERef xmlns:a16="http://schemas.microsoft.com/office/drawing/2014/main" pred="{0FDB8918-81F3-4683-838A-D22C3C98F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552450</xdr:colOff>
      <xdr:row>79</xdr:row>
      <xdr:rowOff>38100</xdr:rowOff>
    </xdr:from>
    <xdr:to>
      <xdr:col>23</xdr:col>
      <xdr:colOff>262890</xdr:colOff>
      <xdr:row>94</xdr:row>
      <xdr:rowOff>57150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B2170B3-2979-4916-BF45-D9BED4559447}"/>
            </a:ext>
            <a:ext uri="{147F2762-F138-4A5C-976F-8EAC2B608ADB}">
              <a16:predDERef xmlns:a16="http://schemas.microsoft.com/office/drawing/2014/main" pred="{68F79FA5-13CA-4A12-9D6E-9A2D6176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152400</xdr:colOff>
      <xdr:row>1</xdr:row>
      <xdr:rowOff>0</xdr:rowOff>
    </xdr:from>
    <xdr:to>
      <xdr:col>15</xdr:col>
      <xdr:colOff>447198</xdr:colOff>
      <xdr:row>15</xdr:row>
      <xdr:rowOff>174308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3AE4FD0-1243-4E4F-8480-F6728F15AEDD}"/>
            </a:ext>
            <a:ext uri="{147F2762-F138-4A5C-976F-8EAC2B608ADB}">
              <a16:predDERef xmlns:a16="http://schemas.microsoft.com/office/drawing/2014/main" pred="{AB2170B3-2979-4916-BF45-D9BED4559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A9B6977-7402-4756-A226-85779FDA37A5}"/>
            </a:ext>
            <a:ext uri="{147F2762-F138-4A5C-976F-8EAC2B608ADB}">
              <a16:predDERef xmlns:a16="http://schemas.microsoft.com/office/drawing/2014/main" pred="{C3AE4FD0-1243-4E4F-8480-F6728F15A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0</xdr:row>
      <xdr:rowOff>161925</xdr:rowOff>
    </xdr:from>
    <xdr:to>
      <xdr:col>23</xdr:col>
      <xdr:colOff>252888</xdr:colOff>
      <xdr:row>15</xdr:row>
      <xdr:rowOff>153353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4F880C-4EFA-4558-B9FF-CB841A95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16</xdr:row>
      <xdr:rowOff>85725</xdr:rowOff>
    </xdr:from>
    <xdr:to>
      <xdr:col>8</xdr:col>
      <xdr:colOff>9525</xdr:colOff>
      <xdr:row>31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5646B0-D775-4CDC-8C93-8055EEE9A8B5}"/>
            </a:ext>
            <a:ext uri="{147F2762-F138-4A5C-976F-8EAC2B608ADB}">
              <a16:predDERef xmlns:a16="http://schemas.microsoft.com/office/drawing/2014/main" pred="{874F880C-4EFA-4558-B9FF-CB841A95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16</xdr:row>
      <xdr:rowOff>95250</xdr:rowOff>
    </xdr:from>
    <xdr:to>
      <xdr:col>15</xdr:col>
      <xdr:colOff>464820</xdr:colOff>
      <xdr:row>31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FA15E0-2F02-4CBF-890C-5E0894D53CC3}"/>
            </a:ext>
            <a:ext uri="{147F2762-F138-4A5C-976F-8EAC2B608ADB}">
              <a16:predDERef xmlns:a16="http://schemas.microsoft.com/office/drawing/2014/main" pred="{6C5646B0-D775-4CDC-8C93-8055EEE9A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16</xdr:row>
      <xdr:rowOff>104775</xdr:rowOff>
    </xdr:from>
    <xdr:to>
      <xdr:col>23</xdr:col>
      <xdr:colOff>272415</xdr:colOff>
      <xdr:row>31</xdr:row>
      <xdr:rowOff>120015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E9F5BD-B9ED-432B-BFF1-716EDCF63BA0}"/>
            </a:ext>
            <a:ext uri="{147F2762-F138-4A5C-976F-8EAC2B608ADB}">
              <a16:predDERef xmlns:a16="http://schemas.microsoft.com/office/drawing/2014/main" pred="{06FA15E0-2F02-4CBF-890C-5E0894D53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32</xdr:row>
      <xdr:rowOff>38100</xdr:rowOff>
    </xdr:from>
    <xdr:to>
      <xdr:col>8</xdr:col>
      <xdr:colOff>9525</xdr:colOff>
      <xdr:row>47</xdr:row>
      <xdr:rowOff>64770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C0793C1-183F-4A06-8E64-CFC7B6CC32CC}"/>
            </a:ext>
            <a:ext uri="{147F2762-F138-4A5C-976F-8EAC2B608ADB}">
              <a16:predDERef xmlns:a16="http://schemas.microsoft.com/office/drawing/2014/main" pred="{EBE9F5BD-B9ED-432B-BFF1-716EDCF63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142875</xdr:colOff>
      <xdr:row>32</xdr:row>
      <xdr:rowOff>47625</xdr:rowOff>
    </xdr:from>
    <xdr:to>
      <xdr:col>15</xdr:col>
      <xdr:colOff>468630</xdr:colOff>
      <xdr:row>47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4DE006-7AEC-4B5D-8B3C-75EEB4F817E2}"/>
            </a:ext>
            <a:ext uri="{147F2762-F138-4A5C-976F-8EAC2B608ADB}">
              <a16:predDERef xmlns:a16="http://schemas.microsoft.com/office/drawing/2014/main" pred="{DC0793C1-183F-4A06-8E64-CFC7B6CC3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571500</xdr:colOff>
      <xdr:row>32</xdr:row>
      <xdr:rowOff>47625</xdr:rowOff>
    </xdr:from>
    <xdr:to>
      <xdr:col>23</xdr:col>
      <xdr:colOff>291465</xdr:colOff>
      <xdr:row>47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D3FB1FA-4DF2-407F-8346-F0E797111DEE}"/>
            </a:ext>
            <a:ext uri="{147F2762-F138-4A5C-976F-8EAC2B608ADB}">
              <a16:predDERef xmlns:a16="http://schemas.microsoft.com/office/drawing/2014/main" pred="{614DE006-7AEC-4B5D-8B3C-75EEB4F81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47</xdr:row>
      <xdr:rowOff>171450</xdr:rowOff>
    </xdr:from>
    <xdr:to>
      <xdr:col>8</xdr:col>
      <xdr:colOff>5715</xdr:colOff>
      <xdr:row>63</xdr:row>
      <xdr:rowOff>1905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881CA6-72E0-442D-AB84-6973998D1BF2}"/>
            </a:ext>
            <a:ext uri="{147F2762-F138-4A5C-976F-8EAC2B608ADB}">
              <a16:predDERef xmlns:a16="http://schemas.microsoft.com/office/drawing/2014/main" pred="{1D3FB1FA-4DF2-407F-8346-F0E797111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139065</xdr:colOff>
      <xdr:row>47</xdr:row>
      <xdr:rowOff>158115</xdr:rowOff>
    </xdr:from>
    <xdr:to>
      <xdr:col>15</xdr:col>
      <xdr:colOff>468630</xdr:colOff>
      <xdr:row>63</xdr:row>
      <xdr:rowOff>5715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A54DC71-C5C2-44DA-A513-E618E15C8520}"/>
            </a:ext>
            <a:ext uri="{147F2762-F138-4A5C-976F-8EAC2B608ADB}">
              <a16:predDERef xmlns:a16="http://schemas.microsoft.com/office/drawing/2014/main" pred="{B4881CA6-72E0-442D-AB84-6973998D1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571500</xdr:colOff>
      <xdr:row>47</xdr:row>
      <xdr:rowOff>161925</xdr:rowOff>
    </xdr:from>
    <xdr:to>
      <xdr:col>23</xdr:col>
      <xdr:colOff>302895</xdr:colOff>
      <xdr:row>62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C9B3F48-8BD8-4923-BF40-A0072F2CB5D9}"/>
            </a:ext>
            <a:ext uri="{147F2762-F138-4A5C-976F-8EAC2B608ADB}">
              <a16:predDERef xmlns:a16="http://schemas.microsoft.com/office/drawing/2014/main" pred="{0A54DC71-C5C2-44DA-A513-E618E15C8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295275</xdr:colOff>
      <xdr:row>63</xdr:row>
      <xdr:rowOff>85725</xdr:rowOff>
    </xdr:from>
    <xdr:to>
      <xdr:col>8</xdr:col>
      <xdr:colOff>5715</xdr:colOff>
      <xdr:row>78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B452341-64C1-46B9-AD9B-B6510B33F436}"/>
            </a:ext>
            <a:ext uri="{147F2762-F138-4A5C-976F-8EAC2B608ADB}">
              <a16:predDERef xmlns:a16="http://schemas.microsoft.com/office/drawing/2014/main" pred="{2C9B3F48-8BD8-4923-BF40-A0072F2CB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133350</xdr:colOff>
      <xdr:row>63</xdr:row>
      <xdr:rowOff>95250</xdr:rowOff>
    </xdr:from>
    <xdr:to>
      <xdr:col>15</xdr:col>
      <xdr:colOff>453390</xdr:colOff>
      <xdr:row>78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684AF73-DC4A-4DDC-809A-B528E32EF754}"/>
            </a:ext>
            <a:ext uri="{147F2762-F138-4A5C-976F-8EAC2B608ADB}">
              <a16:predDERef xmlns:a16="http://schemas.microsoft.com/office/drawing/2014/main" pred="{FB452341-64C1-46B9-AD9B-B6510B33F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571500</xdr:colOff>
      <xdr:row>63</xdr:row>
      <xdr:rowOff>95250</xdr:rowOff>
    </xdr:from>
    <xdr:to>
      <xdr:col>23</xdr:col>
      <xdr:colOff>281940</xdr:colOff>
      <xdr:row>78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6F4FC5F-6B11-4B6D-93A3-3BCECE64342B}"/>
            </a:ext>
            <a:ext uri="{147F2762-F138-4A5C-976F-8EAC2B608ADB}">
              <a16:predDERef xmlns:a16="http://schemas.microsoft.com/office/drawing/2014/main" pred="{A684AF73-DC4A-4DDC-809A-B528E32EF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295275</xdr:colOff>
      <xdr:row>79</xdr:row>
      <xdr:rowOff>38100</xdr:rowOff>
    </xdr:from>
    <xdr:to>
      <xdr:col>8</xdr:col>
      <xdr:colOff>5715</xdr:colOff>
      <xdr:row>94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C3EA75C-16FE-41BE-A36A-99A8D7FF54BE}"/>
            </a:ext>
            <a:ext uri="{147F2762-F138-4A5C-976F-8EAC2B608ADB}">
              <a16:predDERef xmlns:a16="http://schemas.microsoft.com/office/drawing/2014/main" pred="{C6F4FC5F-6B11-4B6D-93A3-3BCECE64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133350</xdr:colOff>
      <xdr:row>79</xdr:row>
      <xdr:rowOff>47625</xdr:rowOff>
    </xdr:from>
    <xdr:to>
      <xdr:col>15</xdr:col>
      <xdr:colOff>453390</xdr:colOff>
      <xdr:row>94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F9CE4C3-A539-48DF-9BE2-0FC018094314}"/>
            </a:ext>
            <a:ext uri="{147F2762-F138-4A5C-976F-8EAC2B608ADB}">
              <a16:predDERef xmlns:a16="http://schemas.microsoft.com/office/drawing/2014/main" pred="{AC3EA75C-16FE-41BE-A36A-99A8D7FF5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552450</xdr:colOff>
      <xdr:row>79</xdr:row>
      <xdr:rowOff>38100</xdr:rowOff>
    </xdr:from>
    <xdr:to>
      <xdr:col>23</xdr:col>
      <xdr:colOff>262890</xdr:colOff>
      <xdr:row>94</xdr:row>
      <xdr:rowOff>57150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4910C1D-696D-42A6-8A7C-671F713F6F48}"/>
            </a:ext>
            <a:ext uri="{147F2762-F138-4A5C-976F-8EAC2B608ADB}">
              <a16:predDERef xmlns:a16="http://schemas.microsoft.com/office/drawing/2014/main" pred="{6F9CE4C3-A539-48DF-9BE2-0FC018094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152400</xdr:colOff>
      <xdr:row>1</xdr:row>
      <xdr:rowOff>0</xdr:rowOff>
    </xdr:from>
    <xdr:to>
      <xdr:col>15</xdr:col>
      <xdr:colOff>447198</xdr:colOff>
      <xdr:row>15</xdr:row>
      <xdr:rowOff>174308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C182949-E36F-44EA-A203-9F9155602416}"/>
            </a:ext>
            <a:ext uri="{147F2762-F138-4A5C-976F-8EAC2B608ADB}">
              <a16:predDERef xmlns:a16="http://schemas.microsoft.com/office/drawing/2014/main" pred="{E4910C1D-696D-42A6-8A7C-671F713F6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10C50CC-E33C-45FB-8957-725653368708}"/>
            </a:ext>
            <a:ext uri="{147F2762-F138-4A5C-976F-8EAC2B608ADB}">
              <a16:predDERef xmlns:a16="http://schemas.microsoft.com/office/drawing/2014/main" pred="{9C182949-E36F-44EA-A203-9F9155602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0</xdr:row>
      <xdr:rowOff>161925</xdr:rowOff>
    </xdr:from>
    <xdr:to>
      <xdr:col>23</xdr:col>
      <xdr:colOff>252888</xdr:colOff>
      <xdr:row>15</xdr:row>
      <xdr:rowOff>153353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882A75-5CF4-4571-818C-40CB122D6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16</xdr:row>
      <xdr:rowOff>85725</xdr:rowOff>
    </xdr:from>
    <xdr:to>
      <xdr:col>8</xdr:col>
      <xdr:colOff>9525</xdr:colOff>
      <xdr:row>31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D2FFB3-8A7D-4FF8-A8A5-A5EE905A29E0}"/>
            </a:ext>
            <a:ext uri="{147F2762-F138-4A5C-976F-8EAC2B608ADB}">
              <a16:predDERef xmlns:a16="http://schemas.microsoft.com/office/drawing/2014/main" pred="{4A882A75-5CF4-4571-818C-40CB122D6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16</xdr:row>
      <xdr:rowOff>95250</xdr:rowOff>
    </xdr:from>
    <xdr:to>
      <xdr:col>15</xdr:col>
      <xdr:colOff>464820</xdr:colOff>
      <xdr:row>31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0E07E-CE16-40CF-8690-1601D74C1F8C}"/>
            </a:ext>
            <a:ext uri="{147F2762-F138-4A5C-976F-8EAC2B608ADB}">
              <a16:predDERef xmlns:a16="http://schemas.microsoft.com/office/drawing/2014/main" pred="{D0D2FFB3-8A7D-4FF8-A8A5-A5EE905A2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16</xdr:row>
      <xdr:rowOff>104775</xdr:rowOff>
    </xdr:from>
    <xdr:to>
      <xdr:col>23</xdr:col>
      <xdr:colOff>272415</xdr:colOff>
      <xdr:row>31</xdr:row>
      <xdr:rowOff>120015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5A57AD-4CB8-43E2-B1BA-72F725133DD6}"/>
            </a:ext>
            <a:ext uri="{147F2762-F138-4A5C-976F-8EAC2B608ADB}">
              <a16:predDERef xmlns:a16="http://schemas.microsoft.com/office/drawing/2014/main" pred="{5190E07E-CE16-40CF-8690-1601D74C1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32</xdr:row>
      <xdr:rowOff>38100</xdr:rowOff>
    </xdr:from>
    <xdr:to>
      <xdr:col>8</xdr:col>
      <xdr:colOff>9525</xdr:colOff>
      <xdr:row>47</xdr:row>
      <xdr:rowOff>64770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50B0208-7065-4878-8F99-D7CB150F2ABE}"/>
            </a:ext>
            <a:ext uri="{147F2762-F138-4A5C-976F-8EAC2B608ADB}">
              <a16:predDERef xmlns:a16="http://schemas.microsoft.com/office/drawing/2014/main" pred="{435A57AD-4CB8-43E2-B1BA-72F725133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142875</xdr:colOff>
      <xdr:row>32</xdr:row>
      <xdr:rowOff>47625</xdr:rowOff>
    </xdr:from>
    <xdr:to>
      <xdr:col>15</xdr:col>
      <xdr:colOff>468630</xdr:colOff>
      <xdr:row>47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166C492-60F2-4108-ADCD-AFA91BF45056}"/>
            </a:ext>
            <a:ext uri="{147F2762-F138-4A5C-976F-8EAC2B608ADB}">
              <a16:predDERef xmlns:a16="http://schemas.microsoft.com/office/drawing/2014/main" pred="{250B0208-7065-4878-8F99-D7CB150F2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571500</xdr:colOff>
      <xdr:row>32</xdr:row>
      <xdr:rowOff>47625</xdr:rowOff>
    </xdr:from>
    <xdr:to>
      <xdr:col>23</xdr:col>
      <xdr:colOff>291465</xdr:colOff>
      <xdr:row>47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449FCC2-C951-4742-BD77-C722434C41D4}"/>
            </a:ext>
            <a:ext uri="{147F2762-F138-4A5C-976F-8EAC2B608ADB}">
              <a16:predDERef xmlns:a16="http://schemas.microsoft.com/office/drawing/2014/main" pred="{C166C492-60F2-4108-ADCD-AFA91BF45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47</xdr:row>
      <xdr:rowOff>171450</xdr:rowOff>
    </xdr:from>
    <xdr:to>
      <xdr:col>8</xdr:col>
      <xdr:colOff>5715</xdr:colOff>
      <xdr:row>63</xdr:row>
      <xdr:rowOff>1905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26F857-7BC1-4DD1-B05A-D3811F82D5FD}"/>
            </a:ext>
            <a:ext uri="{147F2762-F138-4A5C-976F-8EAC2B608ADB}">
              <a16:predDERef xmlns:a16="http://schemas.microsoft.com/office/drawing/2014/main" pred="{6449FCC2-C951-4742-BD77-C722434C4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139065</xdr:colOff>
      <xdr:row>47</xdr:row>
      <xdr:rowOff>158115</xdr:rowOff>
    </xdr:from>
    <xdr:to>
      <xdr:col>15</xdr:col>
      <xdr:colOff>468630</xdr:colOff>
      <xdr:row>63</xdr:row>
      <xdr:rowOff>5715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674649-9FF8-4E23-8055-CE92720DD54C}"/>
            </a:ext>
            <a:ext uri="{147F2762-F138-4A5C-976F-8EAC2B608ADB}">
              <a16:predDERef xmlns:a16="http://schemas.microsoft.com/office/drawing/2014/main" pred="{6A26F857-7BC1-4DD1-B05A-D3811F82D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571500</xdr:colOff>
      <xdr:row>47</xdr:row>
      <xdr:rowOff>161925</xdr:rowOff>
    </xdr:from>
    <xdr:to>
      <xdr:col>23</xdr:col>
      <xdr:colOff>302895</xdr:colOff>
      <xdr:row>62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58E0443-4BD6-4E04-92B2-93111A0B8166}"/>
            </a:ext>
            <a:ext uri="{147F2762-F138-4A5C-976F-8EAC2B608ADB}">
              <a16:predDERef xmlns:a16="http://schemas.microsoft.com/office/drawing/2014/main" pred="{16674649-9FF8-4E23-8055-CE92720DD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295275</xdr:colOff>
      <xdr:row>63</xdr:row>
      <xdr:rowOff>85725</xdr:rowOff>
    </xdr:from>
    <xdr:to>
      <xdr:col>8</xdr:col>
      <xdr:colOff>5715</xdr:colOff>
      <xdr:row>78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90E6616-6710-4DFF-97A6-A4DD3D994D2C}"/>
            </a:ext>
            <a:ext uri="{147F2762-F138-4A5C-976F-8EAC2B608ADB}">
              <a16:predDERef xmlns:a16="http://schemas.microsoft.com/office/drawing/2014/main" pred="{558E0443-4BD6-4E04-92B2-93111A0B8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133350</xdr:colOff>
      <xdr:row>63</xdr:row>
      <xdr:rowOff>95250</xdr:rowOff>
    </xdr:from>
    <xdr:to>
      <xdr:col>15</xdr:col>
      <xdr:colOff>453390</xdr:colOff>
      <xdr:row>78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B65E8F6-1813-4130-8E4A-BC2DA310B8F2}"/>
            </a:ext>
            <a:ext uri="{147F2762-F138-4A5C-976F-8EAC2B608ADB}">
              <a16:predDERef xmlns:a16="http://schemas.microsoft.com/office/drawing/2014/main" pred="{F90E6616-6710-4DFF-97A6-A4DD3D994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571500</xdr:colOff>
      <xdr:row>63</xdr:row>
      <xdr:rowOff>95250</xdr:rowOff>
    </xdr:from>
    <xdr:to>
      <xdr:col>23</xdr:col>
      <xdr:colOff>281940</xdr:colOff>
      <xdr:row>78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EFA3205-5B30-4484-B805-930DBCCEBD83}"/>
            </a:ext>
            <a:ext uri="{147F2762-F138-4A5C-976F-8EAC2B608ADB}">
              <a16:predDERef xmlns:a16="http://schemas.microsoft.com/office/drawing/2014/main" pred="{1B65E8F6-1813-4130-8E4A-BC2DA310B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295275</xdr:colOff>
      <xdr:row>79</xdr:row>
      <xdr:rowOff>38100</xdr:rowOff>
    </xdr:from>
    <xdr:to>
      <xdr:col>8</xdr:col>
      <xdr:colOff>5715</xdr:colOff>
      <xdr:row>94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A513CAD-E288-4D4C-B758-72CD6FA688F6}"/>
            </a:ext>
            <a:ext uri="{147F2762-F138-4A5C-976F-8EAC2B608ADB}">
              <a16:predDERef xmlns:a16="http://schemas.microsoft.com/office/drawing/2014/main" pred="{1EFA3205-5B30-4484-B805-930DBCCE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133350</xdr:colOff>
      <xdr:row>79</xdr:row>
      <xdr:rowOff>47625</xdr:rowOff>
    </xdr:from>
    <xdr:to>
      <xdr:col>15</xdr:col>
      <xdr:colOff>453390</xdr:colOff>
      <xdr:row>94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F005D1A-139C-49A2-8A1E-ABFB3B6A9291}"/>
            </a:ext>
            <a:ext uri="{147F2762-F138-4A5C-976F-8EAC2B608ADB}">
              <a16:predDERef xmlns:a16="http://schemas.microsoft.com/office/drawing/2014/main" pred="{9A513CAD-E288-4D4C-B758-72CD6FA68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552450</xdr:colOff>
      <xdr:row>79</xdr:row>
      <xdr:rowOff>38100</xdr:rowOff>
    </xdr:from>
    <xdr:to>
      <xdr:col>23</xdr:col>
      <xdr:colOff>262890</xdr:colOff>
      <xdr:row>94</xdr:row>
      <xdr:rowOff>57150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40DF12E-0BD4-4938-99C4-7CA7AE28AF34}"/>
            </a:ext>
            <a:ext uri="{147F2762-F138-4A5C-976F-8EAC2B608ADB}">
              <a16:predDERef xmlns:a16="http://schemas.microsoft.com/office/drawing/2014/main" pred="{5F005D1A-139C-49A2-8A1E-ABFB3B6A9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152400</xdr:colOff>
      <xdr:row>1</xdr:row>
      <xdr:rowOff>0</xdr:rowOff>
    </xdr:from>
    <xdr:to>
      <xdr:col>15</xdr:col>
      <xdr:colOff>447198</xdr:colOff>
      <xdr:row>15</xdr:row>
      <xdr:rowOff>174308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BB7E0B4-58F4-44F8-9EFB-9241866B4D3F}"/>
            </a:ext>
            <a:ext uri="{147F2762-F138-4A5C-976F-8EAC2B608ADB}">
              <a16:predDERef xmlns:a16="http://schemas.microsoft.com/office/drawing/2014/main" pred="{C40DF12E-0BD4-4938-99C4-7CA7AE28A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152C7EB-EF58-4825-A28A-544EE6C870B9}"/>
            </a:ext>
            <a:ext uri="{147F2762-F138-4A5C-976F-8EAC2B608ADB}">
              <a16:predDERef xmlns:a16="http://schemas.microsoft.com/office/drawing/2014/main" pred="{0BB7E0B4-58F4-44F8-9EFB-9241866B4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161925</xdr:rowOff>
    </xdr:from>
    <xdr:to>
      <xdr:col>8</xdr:col>
      <xdr:colOff>12858</xdr:colOff>
      <xdr:row>15</xdr:row>
      <xdr:rowOff>155258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6C48C34-2650-4BA9-9D26-49686568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</xdr:colOff>
      <xdr:row>0</xdr:row>
      <xdr:rowOff>144780</xdr:rowOff>
    </xdr:from>
    <xdr:to>
      <xdr:col>15</xdr:col>
      <xdr:colOff>433863</xdr:colOff>
      <xdr:row>15</xdr:row>
      <xdr:rowOff>138113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A603864-7520-4D82-BAC6-64EB37D53872}"/>
            </a:ext>
            <a:ext uri="{147F2762-F138-4A5C-976F-8EAC2B608ADB}">
              <a16:predDERef xmlns:a16="http://schemas.microsoft.com/office/drawing/2014/main" pred="{76C48C34-2650-4BA9-9D26-49686568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563880</xdr:colOff>
      <xdr:row>0</xdr:row>
      <xdr:rowOff>137160</xdr:rowOff>
    </xdr:from>
    <xdr:to>
      <xdr:col>23</xdr:col>
      <xdr:colOff>243363</xdr:colOff>
      <xdr:row>15</xdr:row>
      <xdr:rowOff>130493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DC13A01-1C29-472F-8E46-4A346104E0AC}"/>
            </a:ext>
            <a:ext uri="{147F2762-F138-4A5C-976F-8EAC2B608ADB}">
              <a16:predDERef xmlns:a16="http://schemas.microsoft.com/office/drawing/2014/main" pred="{8A603864-7520-4D82-BAC6-64EB37D53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335280</xdr:colOff>
      <xdr:row>16</xdr:row>
      <xdr:rowOff>106680</xdr:rowOff>
    </xdr:from>
    <xdr:to>
      <xdr:col>8</xdr:col>
      <xdr:colOff>14763</xdr:colOff>
      <xdr:row>31</xdr:row>
      <xdr:rowOff>100013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1BC5E01-9C0D-467A-A01E-B0FECC151213}"/>
            </a:ext>
            <a:ext uri="{147F2762-F138-4A5C-976F-8EAC2B608ADB}">
              <a16:predDERef xmlns:a16="http://schemas.microsoft.com/office/drawing/2014/main" pred="{FDC13A01-1C29-472F-8E46-4A346104E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16</xdr:row>
      <xdr:rowOff>99060</xdr:rowOff>
    </xdr:from>
    <xdr:to>
      <xdr:col>15</xdr:col>
      <xdr:colOff>441483</xdr:colOff>
      <xdr:row>31</xdr:row>
      <xdr:rowOff>92393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2C13AE4-E4F9-4DB1-9DC5-9D9E3EBC3783}"/>
            </a:ext>
            <a:ext uri="{147F2762-F138-4A5C-976F-8EAC2B608ADB}">
              <a16:predDERef xmlns:a16="http://schemas.microsoft.com/office/drawing/2014/main" pred="{91BC5E01-9C0D-467A-A01E-B0FECC151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556260</xdr:colOff>
      <xdr:row>16</xdr:row>
      <xdr:rowOff>99060</xdr:rowOff>
    </xdr:from>
    <xdr:to>
      <xdr:col>23</xdr:col>
      <xdr:colOff>235743</xdr:colOff>
      <xdr:row>31</xdr:row>
      <xdr:rowOff>92393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75C2D859-FD63-41FD-9FA6-8E4E32D61DFA}"/>
            </a:ext>
            <a:ext uri="{147F2762-F138-4A5C-976F-8EAC2B608ADB}">
              <a16:predDERef xmlns:a16="http://schemas.microsoft.com/office/drawing/2014/main" pred="{62C13AE4-E4F9-4DB1-9DC5-9D9E3EBC3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335280</xdr:colOff>
      <xdr:row>32</xdr:row>
      <xdr:rowOff>15240</xdr:rowOff>
    </xdr:from>
    <xdr:to>
      <xdr:col>8</xdr:col>
      <xdr:colOff>14763</xdr:colOff>
      <xdr:row>47</xdr:row>
      <xdr:rowOff>8573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13670878-1166-41A6-8F3A-01DD069A0B1F}"/>
            </a:ext>
            <a:ext uri="{147F2762-F138-4A5C-976F-8EAC2B608ADB}">
              <a16:predDERef xmlns:a16="http://schemas.microsoft.com/office/drawing/2014/main" pred="{75C2D859-FD63-41FD-9FA6-8E4E32D61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137160</xdr:colOff>
      <xdr:row>32</xdr:row>
      <xdr:rowOff>15240</xdr:rowOff>
    </xdr:from>
    <xdr:to>
      <xdr:col>15</xdr:col>
      <xdr:colOff>426243</xdr:colOff>
      <xdr:row>47</xdr:row>
      <xdr:rowOff>8573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87B541D-C46A-4A89-98B6-17A86EBFEE3F}"/>
            </a:ext>
            <a:ext uri="{147F2762-F138-4A5C-976F-8EAC2B608ADB}">
              <a16:predDERef xmlns:a16="http://schemas.microsoft.com/office/drawing/2014/main" pred="{13670878-1166-41A6-8F3A-01DD069A0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548640</xdr:colOff>
      <xdr:row>32</xdr:row>
      <xdr:rowOff>15240</xdr:rowOff>
    </xdr:from>
    <xdr:to>
      <xdr:col>23</xdr:col>
      <xdr:colOff>228123</xdr:colOff>
      <xdr:row>47</xdr:row>
      <xdr:rowOff>8573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45D53A3-E641-409F-9AA0-8DB19A3A911F}"/>
            </a:ext>
            <a:ext uri="{147F2762-F138-4A5C-976F-8EAC2B608ADB}">
              <a16:predDERef xmlns:a16="http://schemas.microsoft.com/office/drawing/2014/main" pred="{A87B541D-C46A-4A89-98B6-17A86EBFE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327660</xdr:colOff>
      <xdr:row>48</xdr:row>
      <xdr:rowOff>0</xdr:rowOff>
    </xdr:from>
    <xdr:to>
      <xdr:col>8</xdr:col>
      <xdr:colOff>7143</xdr:colOff>
      <xdr:row>62</xdr:row>
      <xdr:rowOff>176213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E88CD18A-8C62-4A6D-9598-04BBE1077013}"/>
            </a:ext>
            <a:ext uri="{147F2762-F138-4A5C-976F-8EAC2B608ADB}">
              <a16:predDERef xmlns:a16="http://schemas.microsoft.com/office/drawing/2014/main" pred="{E45D53A3-E641-409F-9AA0-8DB19A3A9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129540</xdr:colOff>
      <xdr:row>48</xdr:row>
      <xdr:rowOff>0</xdr:rowOff>
    </xdr:from>
    <xdr:to>
      <xdr:col>15</xdr:col>
      <xdr:colOff>418623</xdr:colOff>
      <xdr:row>62</xdr:row>
      <xdr:rowOff>176213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7499AEC-7892-432E-BB55-7C655E228D2F}"/>
            </a:ext>
            <a:ext uri="{147F2762-F138-4A5C-976F-8EAC2B608ADB}">
              <a16:predDERef xmlns:a16="http://schemas.microsoft.com/office/drawing/2014/main" pred="{E88CD18A-8C62-4A6D-9598-04BBE1077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541020</xdr:colOff>
      <xdr:row>48</xdr:row>
      <xdr:rowOff>7620</xdr:rowOff>
    </xdr:from>
    <xdr:to>
      <xdr:col>23</xdr:col>
      <xdr:colOff>220503</xdr:colOff>
      <xdr:row>63</xdr:row>
      <xdr:rowOff>953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7E7905F-2C57-4B33-B506-B8D2EADC96AD}"/>
            </a:ext>
            <a:ext uri="{147F2762-F138-4A5C-976F-8EAC2B608ADB}">
              <a16:predDERef xmlns:a16="http://schemas.microsoft.com/office/drawing/2014/main" pred="{77499AEC-7892-432E-BB55-7C655E228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327660</xdr:colOff>
      <xdr:row>63</xdr:row>
      <xdr:rowOff>121920</xdr:rowOff>
    </xdr:from>
    <xdr:to>
      <xdr:col>8</xdr:col>
      <xdr:colOff>7143</xdr:colOff>
      <xdr:row>78</xdr:row>
      <xdr:rowOff>115253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631668F-38E5-40B0-B9AE-01DCDB233A77}"/>
            </a:ext>
            <a:ext uri="{147F2762-F138-4A5C-976F-8EAC2B608ADB}">
              <a16:predDERef xmlns:a16="http://schemas.microsoft.com/office/drawing/2014/main" pred="{37E7905F-2C57-4B33-B506-B8D2EADC9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129540</xdr:colOff>
      <xdr:row>63</xdr:row>
      <xdr:rowOff>121920</xdr:rowOff>
    </xdr:from>
    <xdr:to>
      <xdr:col>15</xdr:col>
      <xdr:colOff>418623</xdr:colOff>
      <xdr:row>78</xdr:row>
      <xdr:rowOff>115253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44F4155-D5A7-4DB2-B110-BF5086B3F8BA}"/>
            </a:ext>
            <a:ext uri="{147F2762-F138-4A5C-976F-8EAC2B608ADB}">
              <a16:predDERef xmlns:a16="http://schemas.microsoft.com/office/drawing/2014/main" pred="{9631668F-38E5-40B0-B9AE-01DCDB233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533400</xdr:colOff>
      <xdr:row>63</xdr:row>
      <xdr:rowOff>106680</xdr:rowOff>
    </xdr:from>
    <xdr:to>
      <xdr:col>23</xdr:col>
      <xdr:colOff>212883</xdr:colOff>
      <xdr:row>78</xdr:row>
      <xdr:rowOff>100013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2C1DBD28-F4E0-46EF-B429-72A5907D7045}"/>
            </a:ext>
            <a:ext uri="{147F2762-F138-4A5C-976F-8EAC2B608ADB}">
              <a16:predDERef xmlns:a16="http://schemas.microsoft.com/office/drawing/2014/main" pred="{D44F4155-D5A7-4DB2-B110-BF5086B3F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342900</xdr:colOff>
      <xdr:row>79</xdr:row>
      <xdr:rowOff>45720</xdr:rowOff>
    </xdr:from>
    <xdr:to>
      <xdr:col>8</xdr:col>
      <xdr:colOff>22383</xdr:colOff>
      <xdr:row>94</xdr:row>
      <xdr:rowOff>39053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B89E3A8C-E693-454D-B9BD-8264A7684461}"/>
            </a:ext>
            <a:ext uri="{147F2762-F138-4A5C-976F-8EAC2B608ADB}">
              <a16:predDERef xmlns:a16="http://schemas.microsoft.com/office/drawing/2014/main" pred="{2C1DBD28-F4E0-46EF-B429-72A5907D7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129540</xdr:colOff>
      <xdr:row>79</xdr:row>
      <xdr:rowOff>45720</xdr:rowOff>
    </xdr:from>
    <xdr:to>
      <xdr:col>15</xdr:col>
      <xdr:colOff>418623</xdr:colOff>
      <xdr:row>94</xdr:row>
      <xdr:rowOff>39053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CA21D2F-9697-4C69-A74E-1155FE729CCE}"/>
            </a:ext>
            <a:ext uri="{147F2762-F138-4A5C-976F-8EAC2B608ADB}">
              <a16:predDERef xmlns:a16="http://schemas.microsoft.com/office/drawing/2014/main" pred="{B89E3A8C-E693-454D-B9BD-8264A7684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541020</xdr:colOff>
      <xdr:row>79</xdr:row>
      <xdr:rowOff>53340</xdr:rowOff>
    </xdr:from>
    <xdr:to>
      <xdr:col>23</xdr:col>
      <xdr:colOff>220503</xdr:colOff>
      <xdr:row>94</xdr:row>
      <xdr:rowOff>46673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6FF61678-AF4C-47F6-AD8A-40F91B2052D8}"/>
            </a:ext>
            <a:ext uri="{147F2762-F138-4A5C-976F-8EAC2B608ADB}">
              <a16:predDERef xmlns:a16="http://schemas.microsoft.com/office/drawing/2014/main" pred="{DCA21D2F-9697-4C69-A74E-1155FE729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heuserbuschinbev-my.sharepoint.com/:x:/r/personal/99827517_ambev_com_br/Documents/My%20Documents/Bottom%20Funnel/2024/MPR/MPR%20-%2005-Maio-24/Acompanhamento%20de%20Resultados%20-%20Midia%20Perf.xlsx?d=wa68b5e15834941fd91e4b5fd2348b278&amp;csf=1&amp;web=1&amp;e=gBaL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5B32-D086-42AE-9921-A0ED485019B0}">
  <sheetPr codeName="Sheet1"/>
  <dimension ref="B2:F36"/>
  <sheetViews>
    <sheetView workbookViewId="0">
      <selection activeCell="D42" sqref="D42"/>
    </sheetView>
  </sheetViews>
  <sheetFormatPr baseColWidth="10" defaultColWidth="8.6640625" defaultRowHeight="15"/>
  <cols>
    <col min="2" max="3" width="16.5" bestFit="1" customWidth="1"/>
    <col min="4" max="4" width="12.5" bestFit="1" customWidth="1"/>
    <col min="5" max="5" width="12.5" customWidth="1"/>
  </cols>
  <sheetData>
    <row r="2" spans="2:6" hidden="1">
      <c r="C2" t="s">
        <v>0</v>
      </c>
      <c r="D2" t="s">
        <v>1</v>
      </c>
      <c r="E2" t="s">
        <v>2</v>
      </c>
      <c r="F2" t="s">
        <v>3</v>
      </c>
    </row>
    <row r="3" spans="2:6" hidden="1">
      <c r="B3" s="80">
        <v>45292</v>
      </c>
      <c r="C3" s="83">
        <v>4912117</v>
      </c>
      <c r="D3" s="82">
        <v>225803</v>
      </c>
      <c r="E3" s="81">
        <f>D3/C3</f>
        <v>4.5968571188349135E-2</v>
      </c>
      <c r="F3" s="81">
        <f>D3/C3</f>
        <v>4.5968571188349135E-2</v>
      </c>
    </row>
    <row r="4" spans="2:6" hidden="1">
      <c r="B4" s="80">
        <v>45323</v>
      </c>
      <c r="C4" s="82">
        <v>5277099</v>
      </c>
      <c r="D4" s="82">
        <v>1641396</v>
      </c>
      <c r="E4" s="81">
        <f t="shared" ref="E4:E14" si="0">D4/C4</f>
        <v>0.31104135056022258</v>
      </c>
      <c r="F4" s="81">
        <f>SUM(D3:D4)/SUM(C3:C4)</f>
        <v>0.18325247006246603</v>
      </c>
    </row>
    <row r="5" spans="2:6" hidden="1">
      <c r="B5" s="80">
        <v>45352</v>
      </c>
      <c r="C5" s="82">
        <v>5995629</v>
      </c>
      <c r="D5" s="82">
        <v>1411000</v>
      </c>
      <c r="E5" s="81">
        <f t="shared" si="0"/>
        <v>0.23533811048015146</v>
      </c>
      <c r="F5" s="81">
        <f>SUM(D3:D5)/SUM(C3:C5)</f>
        <v>0.20254744484732476</v>
      </c>
    </row>
    <row r="6" spans="2:6" hidden="1">
      <c r="B6" s="80">
        <v>45383</v>
      </c>
      <c r="C6" s="82"/>
      <c r="D6" s="82"/>
      <c r="E6" s="81" t="e">
        <f t="shared" si="0"/>
        <v>#DIV/0!</v>
      </c>
      <c r="F6" s="81">
        <f>SUM(D3:D6)/SUM(C3:C6)</f>
        <v>0.20254744484732476</v>
      </c>
    </row>
    <row r="7" spans="2:6" hidden="1">
      <c r="B7" s="80">
        <v>45413</v>
      </c>
      <c r="C7" s="82"/>
      <c r="D7" s="82"/>
      <c r="E7" s="81" t="e">
        <f t="shared" si="0"/>
        <v>#DIV/0!</v>
      </c>
      <c r="F7" s="81">
        <f>SUM(D3:D7)/SUM(C3:C7)</f>
        <v>0.20254744484732476</v>
      </c>
    </row>
    <row r="8" spans="2:6" hidden="1">
      <c r="B8" s="80">
        <v>45444</v>
      </c>
      <c r="C8" s="82"/>
      <c r="D8" s="82"/>
      <c r="E8" s="81" t="e">
        <f t="shared" si="0"/>
        <v>#DIV/0!</v>
      </c>
      <c r="F8" s="81">
        <f>SUM(D3:D8)/SUM(C3:C8)</f>
        <v>0.20254744484732476</v>
      </c>
    </row>
    <row r="9" spans="2:6" hidden="1">
      <c r="B9" s="80">
        <v>45474</v>
      </c>
      <c r="C9" s="82"/>
      <c r="D9" s="82"/>
      <c r="E9" s="81" t="e">
        <f t="shared" si="0"/>
        <v>#DIV/0!</v>
      </c>
      <c r="F9" s="81">
        <f>SUM(D3:D9)/SUM(C3:C9)</f>
        <v>0.20254744484732476</v>
      </c>
    </row>
    <row r="10" spans="2:6" hidden="1">
      <c r="B10" s="80">
        <v>45505</v>
      </c>
      <c r="C10" s="82"/>
      <c r="D10" s="82"/>
      <c r="E10" s="81" t="e">
        <f t="shared" si="0"/>
        <v>#DIV/0!</v>
      </c>
      <c r="F10" s="81">
        <f>SUM(D3:D10)/SUM(C3:C10)</f>
        <v>0.20254744484732476</v>
      </c>
    </row>
    <row r="11" spans="2:6" hidden="1">
      <c r="B11" s="80">
        <v>45536</v>
      </c>
      <c r="C11" s="82"/>
      <c r="D11" s="82"/>
      <c r="E11" s="81" t="e">
        <f t="shared" si="0"/>
        <v>#DIV/0!</v>
      </c>
      <c r="F11" s="81">
        <f>SUM(D3:D11)/SUM(C3:C11)</f>
        <v>0.20254744484732476</v>
      </c>
    </row>
    <row r="12" spans="2:6" hidden="1">
      <c r="B12" s="80">
        <v>45566</v>
      </c>
      <c r="C12" s="82"/>
      <c r="D12" s="82"/>
      <c r="E12" s="81" t="e">
        <f t="shared" si="0"/>
        <v>#DIV/0!</v>
      </c>
      <c r="F12" s="81">
        <f>SUM(D2:D12)/SUM(C2:C12)</f>
        <v>0.20254744484732476</v>
      </c>
    </row>
    <row r="13" spans="2:6" hidden="1">
      <c r="B13" s="80">
        <v>45597</v>
      </c>
      <c r="C13" s="82"/>
      <c r="D13" s="82"/>
      <c r="E13" s="81" t="e">
        <f t="shared" si="0"/>
        <v>#DIV/0!</v>
      </c>
      <c r="F13" s="81">
        <f>SUM(D3:D13)/SUM(C3:C13)</f>
        <v>0.20254744484732476</v>
      </c>
    </row>
    <row r="14" spans="2:6" hidden="1">
      <c r="B14" s="80">
        <v>45627</v>
      </c>
      <c r="C14" s="82"/>
      <c r="D14" s="82"/>
      <c r="E14" s="81" t="e">
        <f t="shared" si="0"/>
        <v>#DIV/0!</v>
      </c>
      <c r="F14" s="81">
        <f>SUM(D3:D14)/SUM(C3:C14)</f>
        <v>0.20254744484732476</v>
      </c>
    </row>
    <row r="17" spans="2:6">
      <c r="D17" t="s">
        <v>4</v>
      </c>
    </row>
    <row r="18" spans="2:6">
      <c r="C18" t="s">
        <v>0</v>
      </c>
      <c r="D18" t="s">
        <v>1</v>
      </c>
      <c r="E18" t="s">
        <v>2</v>
      </c>
      <c r="F18" t="s">
        <v>3</v>
      </c>
    </row>
    <row r="19" spans="2:6">
      <c r="B19" s="80">
        <v>45292</v>
      </c>
      <c r="C19" s="83">
        <v>4912117</v>
      </c>
      <c r="D19" s="82">
        <f>79222+19500</f>
        <v>98722</v>
      </c>
      <c r="E19" s="87">
        <v>2.9700000000000001E-2</v>
      </c>
      <c r="F19" s="87">
        <f>D19/C19</f>
        <v>2.009764832555902E-2</v>
      </c>
    </row>
    <row r="20" spans="2:6">
      <c r="B20" s="80">
        <v>45323</v>
      </c>
      <c r="C20" s="82">
        <v>5277099</v>
      </c>
      <c r="D20" s="82">
        <f>47058+347639</f>
        <v>394697</v>
      </c>
      <c r="E20" s="87">
        <v>0.15509999999999999</v>
      </c>
      <c r="F20" s="87">
        <f>SUM(D19:D20)/SUM(C19:C20)</f>
        <v>4.8425609978235813E-2</v>
      </c>
    </row>
    <row r="21" spans="2:6">
      <c r="B21" s="80">
        <v>45352</v>
      </c>
      <c r="C21" s="82">
        <v>5995629</v>
      </c>
      <c r="D21" s="82">
        <f>32482+315166</f>
        <v>347648</v>
      </c>
      <c r="E21" s="87">
        <v>0.10580000000000001</v>
      </c>
      <c r="F21" s="87">
        <f>SUM(D19:D21)/SUM(C19:C21)</f>
        <v>5.1966330230533563E-2</v>
      </c>
    </row>
    <row r="22" spans="2:6">
      <c r="B22" s="80">
        <v>45383</v>
      </c>
      <c r="C22" s="82">
        <v>5217685</v>
      </c>
      <c r="D22" s="82">
        <f>19998+297754</f>
        <v>317752</v>
      </c>
      <c r="E22" s="87">
        <f t="shared" ref="E22:E30" si="1">D22/C22</f>
        <v>6.0899038558287821E-2</v>
      </c>
      <c r="F22" s="81">
        <f>SUM(D19:D22)/SUM(C19:C22)</f>
        <v>5.4144019422002913E-2</v>
      </c>
    </row>
    <row r="23" spans="2:6">
      <c r="B23" s="80">
        <v>45413</v>
      </c>
      <c r="C23" s="82"/>
      <c r="D23" s="82"/>
      <c r="E23" s="87" t="e">
        <f t="shared" si="1"/>
        <v>#DIV/0!</v>
      </c>
      <c r="F23" s="81">
        <f>SUM(D19:D23)/SUM(C19:C23)</f>
        <v>5.4144019422002913E-2</v>
      </c>
    </row>
    <row r="24" spans="2:6">
      <c r="B24" s="80">
        <v>45444</v>
      </c>
      <c r="C24" s="82"/>
      <c r="D24" s="82"/>
      <c r="E24" s="87" t="e">
        <f t="shared" si="1"/>
        <v>#DIV/0!</v>
      </c>
      <c r="F24" s="81">
        <f>SUM(D19:D24)/SUM(C19:C24)</f>
        <v>5.4144019422002913E-2</v>
      </c>
    </row>
    <row r="25" spans="2:6">
      <c r="B25" s="80">
        <v>45474</v>
      </c>
      <c r="C25" s="82"/>
      <c r="D25" s="82"/>
      <c r="E25" s="87" t="e">
        <f t="shared" si="1"/>
        <v>#DIV/0!</v>
      </c>
      <c r="F25" s="81">
        <f>SUM(D19:D25)/SUM(C19:C25)</f>
        <v>5.4144019422002913E-2</v>
      </c>
    </row>
    <row r="26" spans="2:6">
      <c r="B26" s="80">
        <v>45505</v>
      </c>
      <c r="C26" s="82"/>
      <c r="D26" s="82"/>
      <c r="E26" s="87" t="e">
        <f t="shared" si="1"/>
        <v>#DIV/0!</v>
      </c>
      <c r="F26" s="81">
        <f>SUM(D19:D26)/SUM(C19:C26)</f>
        <v>5.4144019422002913E-2</v>
      </c>
    </row>
    <row r="27" spans="2:6">
      <c r="B27" s="80">
        <v>45536</v>
      </c>
      <c r="C27" s="82"/>
      <c r="D27" s="82"/>
      <c r="E27" s="87" t="e">
        <f t="shared" si="1"/>
        <v>#DIV/0!</v>
      </c>
      <c r="F27" s="81">
        <f>SUM(D19:D27)/SUM(C19:C27)</f>
        <v>5.4144019422002913E-2</v>
      </c>
    </row>
    <row r="28" spans="2:6">
      <c r="B28" s="80">
        <v>45566</v>
      </c>
      <c r="C28" s="82"/>
      <c r="D28" s="82"/>
      <c r="E28" s="87" t="e">
        <f t="shared" si="1"/>
        <v>#DIV/0!</v>
      </c>
      <c r="F28" s="81">
        <f>SUM(D18:D28)/SUM(C18:C28)</f>
        <v>5.4144019422002913E-2</v>
      </c>
    </row>
    <row r="29" spans="2:6">
      <c r="B29" s="80">
        <v>45597</v>
      </c>
      <c r="C29" s="82"/>
      <c r="D29" s="82"/>
      <c r="E29" s="87" t="e">
        <f t="shared" si="1"/>
        <v>#DIV/0!</v>
      </c>
      <c r="F29" s="81">
        <f>SUM(D19:D29)/SUM(C19:C29)</f>
        <v>5.4144019422002913E-2</v>
      </c>
    </row>
    <row r="30" spans="2:6">
      <c r="B30" s="80">
        <v>45627</v>
      </c>
      <c r="C30" s="82"/>
      <c r="D30" s="82"/>
      <c r="E30" s="87" t="e">
        <f t="shared" si="1"/>
        <v>#DIV/0!</v>
      </c>
      <c r="F30" s="81">
        <f>SUM(D19:D30)/SUM(C19:C30)</f>
        <v>5.4144019422002913E-2</v>
      </c>
    </row>
    <row r="35" spans="4:4">
      <c r="D35" t="s">
        <v>5</v>
      </c>
    </row>
    <row r="36" spans="4:4">
      <c r="D36" s="88" t="s">
        <v>6</v>
      </c>
    </row>
  </sheetData>
  <hyperlinks>
    <hyperlink ref="D36" r:id="rId1" display="https://anheuserbuschinbev-my.sharepoint.com/:x:/r/personal/99827517_ambev_com_br/Documents/My Documents/Bottom Funnel/2024/MPR/MPR - 05-Maio-24/Acompanhamento de Resultados - Midia Perf.xlsx?d=wa68b5e15834941fd91e4b5fd2348b278&amp;csf=1&amp;web=1&amp;e=gBaLil" xr:uid="{915AF4CE-54D9-4C47-B536-927FD4B58067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1FBC-567B-244E-8674-23E7D2200CF2}">
  <sheetPr codeName="Sheet2">
    <tabColor rgb="FFFFFF00"/>
  </sheetPr>
  <dimension ref="A1:Z27"/>
  <sheetViews>
    <sheetView showGridLines="0" zoomScaleNormal="70" workbookViewId="0">
      <selection activeCell="E30" sqref="E30"/>
    </sheetView>
  </sheetViews>
  <sheetFormatPr baseColWidth="10" defaultColWidth="8.6640625" defaultRowHeight="15"/>
  <cols>
    <col min="1" max="1" width="1.5" customWidth="1"/>
    <col min="2" max="2" width="26.6640625" bestFit="1" customWidth="1"/>
    <col min="3" max="3" width="47" customWidth="1"/>
    <col min="4" max="4" width="11.5" customWidth="1"/>
    <col min="5" max="5" width="10.1640625" bestFit="1" customWidth="1"/>
    <col min="6" max="9" width="11.5" style="2" customWidth="1"/>
    <col min="10" max="10" width="12.33203125" style="2" customWidth="1"/>
    <col min="11" max="13" width="11.5" style="2" customWidth="1"/>
    <col min="14" max="14" width="11.1640625" style="2" hidden="1" customWidth="1"/>
    <col min="15" max="15" width="11.5" style="2" customWidth="1"/>
    <col min="18" max="18" width="11" customWidth="1"/>
    <col min="19" max="19" width="11.33203125" customWidth="1"/>
    <col min="20" max="22" width="11.5" style="2" customWidth="1"/>
    <col min="23" max="24" width="13.33203125" style="2" customWidth="1"/>
    <col min="25" max="26" width="11.5" style="2" customWidth="1"/>
  </cols>
  <sheetData>
    <row r="1" spans="1:26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8"/>
      <c r="P1" s="118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121"/>
    </row>
    <row r="3" spans="1:26" s="3" customFormat="1" ht="34.5" customHeight="1">
      <c r="A3" s="400"/>
      <c r="B3" s="401" t="s">
        <v>8</v>
      </c>
      <c r="C3" s="403" t="s">
        <v>9</v>
      </c>
      <c r="D3" s="403" t="s">
        <v>10</v>
      </c>
      <c r="E3" s="403" t="s">
        <v>11</v>
      </c>
      <c r="F3" s="405" t="s">
        <v>12</v>
      </c>
      <c r="G3" s="407" t="s">
        <v>13</v>
      </c>
      <c r="H3" s="407" t="s">
        <v>14</v>
      </c>
      <c r="I3" s="407" t="s">
        <v>15</v>
      </c>
      <c r="J3" s="407" t="s">
        <v>16</v>
      </c>
      <c r="K3" s="409" t="s">
        <v>17</v>
      </c>
      <c r="L3" s="125" t="s">
        <v>72</v>
      </c>
      <c r="M3" s="405" t="s">
        <v>18</v>
      </c>
      <c r="N3" s="407" t="s">
        <v>19</v>
      </c>
      <c r="O3" s="407" t="s">
        <v>20</v>
      </c>
      <c r="P3" s="407" t="s">
        <v>21</v>
      </c>
      <c r="Q3" s="407" t="s">
        <v>22</v>
      </c>
      <c r="R3" s="407" t="s">
        <v>175</v>
      </c>
      <c r="S3" s="407" t="s">
        <v>97</v>
      </c>
      <c r="T3" s="407" t="s">
        <v>23</v>
      </c>
      <c r="U3" s="127" t="s">
        <v>72</v>
      </c>
      <c r="V3" s="129" t="s">
        <v>49</v>
      </c>
      <c r="W3" s="129" t="s">
        <v>49</v>
      </c>
      <c r="X3" s="412" t="s">
        <v>77</v>
      </c>
      <c r="Y3" s="412" t="s">
        <v>24</v>
      </c>
      <c r="Z3" s="412" t="s">
        <v>25</v>
      </c>
    </row>
    <row r="4" spans="1:26" s="3" customFormat="1" ht="18" customHeight="1" thickBot="1">
      <c r="A4" s="400"/>
      <c r="B4" s="402"/>
      <c r="C4" s="404"/>
      <c r="D4" s="404"/>
      <c r="E4" s="404"/>
      <c r="F4" s="406"/>
      <c r="G4" s="408"/>
      <c r="H4" s="408"/>
      <c r="I4" s="408"/>
      <c r="J4" s="408"/>
      <c r="K4" s="410"/>
      <c r="L4" s="126" t="s">
        <v>73</v>
      </c>
      <c r="M4" s="406"/>
      <c r="N4" s="408"/>
      <c r="O4" s="408"/>
      <c r="P4" s="408"/>
      <c r="Q4" s="408"/>
      <c r="R4" s="408"/>
      <c r="S4" s="408"/>
      <c r="T4" s="408"/>
      <c r="U4" s="128" t="s">
        <v>74</v>
      </c>
      <c r="V4" s="130" t="s">
        <v>73</v>
      </c>
      <c r="W4" s="130" t="s">
        <v>74</v>
      </c>
      <c r="X4" s="413"/>
      <c r="Y4" s="413"/>
      <c r="Z4" s="413"/>
    </row>
    <row r="5" spans="1:26" s="3" customFormat="1" ht="18" customHeight="1" thickBot="1">
      <c r="A5" s="120"/>
      <c r="B5" s="131" t="s">
        <v>26</v>
      </c>
      <c r="C5" s="5" t="s">
        <v>27</v>
      </c>
      <c r="D5" s="132" t="s">
        <v>28</v>
      </c>
      <c r="E5" s="132" t="s">
        <v>29</v>
      </c>
      <c r="F5" s="133">
        <f>Brahma!R4</f>
        <v>0.22202073182215187</v>
      </c>
      <c r="G5" s="134">
        <f>Budweiser!R4</f>
        <v>0.24037611870636669</v>
      </c>
      <c r="H5" s="135">
        <f>Corona!R4</f>
        <v>0.21410560766986911</v>
      </c>
      <c r="I5" s="135">
        <f>Spaten!R4</f>
        <v>0.16046978098359899</v>
      </c>
      <c r="J5" s="135">
        <f>'Stella Artois'!R4</f>
        <v>0.18640949462312098</v>
      </c>
      <c r="K5" s="135">
        <f>Skol!R4</f>
        <v>0.27993287078194612</v>
      </c>
      <c r="L5" s="134">
        <f>BEER!R4</f>
        <v>0.21396284807445864</v>
      </c>
      <c r="M5" s="134">
        <f>Beats!R4</f>
        <v>0.26231190538214877</v>
      </c>
      <c r="N5" s="135">
        <v>0.11</v>
      </c>
      <c r="O5" s="134">
        <f>Tonica!$R4</f>
        <v>0.32562303862831554</v>
      </c>
      <c r="P5" s="134" t="str">
        <f>Fusion!$R4</f>
        <v>NA</v>
      </c>
      <c r="Q5" s="134" t="str">
        <f>Mikes!$R4</f>
        <v>NA</v>
      </c>
      <c r="R5" s="134" t="str">
        <f>'Flying Fish'!R4</f>
        <v>NA</v>
      </c>
      <c r="S5" s="134" t="str">
        <f>'Brutal Fruit'!R4</f>
        <v>NA</v>
      </c>
      <c r="T5" s="134">
        <f ca="1">'Zé Delivery'!R4</f>
        <v>0.40646507638540524</v>
      </c>
      <c r="U5" s="134">
        <f>PORTFOLIO!R4</f>
        <v>0.23846385470853546</v>
      </c>
      <c r="V5" s="227" t="s">
        <v>30</v>
      </c>
      <c r="W5" s="228" t="s">
        <v>30</v>
      </c>
      <c r="X5" s="318"/>
      <c r="Y5" s="229">
        <v>0.28000000000000003</v>
      </c>
      <c r="Z5" s="137">
        <v>0.32</v>
      </c>
    </row>
    <row r="6" spans="1:26" s="3" customFormat="1" ht="18" customHeight="1">
      <c r="A6" s="120"/>
      <c r="B6" s="392" t="s">
        <v>31</v>
      </c>
      <c r="C6" s="6" t="s">
        <v>32</v>
      </c>
      <c r="D6" s="395" t="s">
        <v>28</v>
      </c>
      <c r="E6" s="139">
        <v>0.8</v>
      </c>
      <c r="F6" s="230">
        <f>Brahma!R5</f>
        <v>1</v>
      </c>
      <c r="G6" s="141">
        <f>Budweiser!R5</f>
        <v>0</v>
      </c>
      <c r="H6" s="140">
        <f>Corona!R5</f>
        <v>1</v>
      </c>
      <c r="I6" s="140">
        <f>Spaten!R5</f>
        <v>1</v>
      </c>
      <c r="J6" s="140">
        <f>'Stella Artois'!R5</f>
        <v>1</v>
      </c>
      <c r="K6" s="140">
        <f>Skol!R5</f>
        <v>0</v>
      </c>
      <c r="L6" s="141">
        <f>BEER!R5</f>
        <v>1</v>
      </c>
      <c r="M6" s="141">
        <f>Beats!R5</f>
        <v>0</v>
      </c>
      <c r="N6" s="141">
        <v>0.5</v>
      </c>
      <c r="O6" s="141">
        <f>Tonica!R5</f>
        <v>0</v>
      </c>
      <c r="P6" s="141">
        <f>Fusion!$R5</f>
        <v>0</v>
      </c>
      <c r="Q6" s="141">
        <f>Mikes!$R5</f>
        <v>0</v>
      </c>
      <c r="R6" s="141">
        <f>'Flying Fish'!R5</f>
        <v>0</v>
      </c>
      <c r="S6" s="141">
        <f>'Brutal Fruit'!R5</f>
        <v>0</v>
      </c>
      <c r="T6" s="141">
        <f>'Zé Delivery'!R5</f>
        <v>0</v>
      </c>
      <c r="U6" s="141">
        <f>PORTFOLIO!R5</f>
        <v>1</v>
      </c>
      <c r="V6" s="140">
        <f>BEER!S5</f>
        <v>1</v>
      </c>
      <c r="W6" s="142">
        <f>PORTFOLIO!S5</f>
        <v>1</v>
      </c>
      <c r="X6" s="263"/>
      <c r="Y6" s="188">
        <v>0.56000000000000005</v>
      </c>
      <c r="Z6" s="143" t="s">
        <v>33</v>
      </c>
    </row>
    <row r="7" spans="1:26" s="3" customFormat="1" ht="18" customHeight="1">
      <c r="A7" s="120"/>
      <c r="B7" s="393"/>
      <c r="C7" s="7" t="s">
        <v>34</v>
      </c>
      <c r="D7" s="396"/>
      <c r="E7" s="144">
        <v>0.8</v>
      </c>
      <c r="F7" s="147">
        <f>Brahma!R6</f>
        <v>1</v>
      </c>
      <c r="G7" s="145">
        <f>Budweiser!R6</f>
        <v>1</v>
      </c>
      <c r="H7" s="146">
        <f>Corona!R6</f>
        <v>1</v>
      </c>
      <c r="I7" s="146">
        <f>Spaten!R6</f>
        <v>0.88157874941911774</v>
      </c>
      <c r="J7" s="146">
        <f>'Stella Artois'!R6</f>
        <v>0.96436302984798483</v>
      </c>
      <c r="K7" s="146">
        <f>Skol!R6</f>
        <v>0.90626329194382049</v>
      </c>
      <c r="L7" s="145">
        <f>BEER!R6</f>
        <v>0.95684969167064104</v>
      </c>
      <c r="M7" s="145">
        <f>Beats!R6</f>
        <v>0.67525648632332103</v>
      </c>
      <c r="N7" s="146">
        <v>0.68</v>
      </c>
      <c r="O7" s="145">
        <f>Tonica!R6</f>
        <v>0.24229177293654316</v>
      </c>
      <c r="P7" s="145" t="str">
        <f>Fusion!$R6</f>
        <v>NA</v>
      </c>
      <c r="Q7" s="145" t="str">
        <f>Mikes!$R6</f>
        <v>NA</v>
      </c>
      <c r="R7" s="145" t="str">
        <f>'Flying Fish'!R6</f>
        <v>NA</v>
      </c>
      <c r="S7" s="145">
        <f>'Brutal Fruit'!R6</f>
        <v>0.40307293068028244</v>
      </c>
      <c r="T7" s="145" t="str">
        <f>'Zé Delivery'!R6</f>
        <v>NA</v>
      </c>
      <c r="U7" s="145">
        <f>PORTFOLIO!R6</f>
        <v>0.90260754336919913</v>
      </c>
      <c r="V7" s="231" t="s">
        <v>30</v>
      </c>
      <c r="W7" s="232" t="s">
        <v>30</v>
      </c>
      <c r="X7" s="266"/>
      <c r="Y7" s="192">
        <v>0.77</v>
      </c>
      <c r="Z7" s="149">
        <v>0.7</v>
      </c>
    </row>
    <row r="8" spans="1:26" s="3" customFormat="1" ht="18" customHeight="1">
      <c r="A8" s="120"/>
      <c r="B8" s="393"/>
      <c r="C8" s="8" t="s">
        <v>35</v>
      </c>
      <c r="D8" s="397" t="s">
        <v>36</v>
      </c>
      <c r="E8" s="150">
        <v>0.8</v>
      </c>
      <c r="F8" s="153">
        <f>Brahma!R7</f>
        <v>1</v>
      </c>
      <c r="G8" s="151">
        <f>Budweiser!R7</f>
        <v>1</v>
      </c>
      <c r="H8" s="151">
        <f>Corona!R7</f>
        <v>1</v>
      </c>
      <c r="I8" s="151">
        <f>Spaten!R7</f>
        <v>1</v>
      </c>
      <c r="J8" s="151">
        <f>'Stella Artois'!R7</f>
        <v>1</v>
      </c>
      <c r="K8" s="151">
        <f>Skol!R7</f>
        <v>1</v>
      </c>
      <c r="L8" s="151">
        <f>BEER!R7</f>
        <v>0</v>
      </c>
      <c r="M8" s="151">
        <f>Beats!R7</f>
        <v>1</v>
      </c>
      <c r="N8" s="152">
        <v>0.84</v>
      </c>
      <c r="O8" s="151">
        <f>Tonica!R7</f>
        <v>0.75</v>
      </c>
      <c r="P8" s="151">
        <f>Fusion!$R7</f>
        <v>0</v>
      </c>
      <c r="Q8" s="151">
        <f>Mikes!$R7</f>
        <v>0</v>
      </c>
      <c r="R8" s="151">
        <f>'Flying Fish'!R7</f>
        <v>0.5</v>
      </c>
      <c r="S8" s="151">
        <f>'Brutal Fruit'!R7</f>
        <v>0.75</v>
      </c>
      <c r="T8" s="151">
        <f>'Zé Delivery'!R7</f>
        <v>1</v>
      </c>
      <c r="U8" s="151">
        <f>PORTFOLIO!R7</f>
        <v>0</v>
      </c>
      <c r="V8" s="233" t="s">
        <v>30</v>
      </c>
      <c r="W8" s="234" t="s">
        <v>30</v>
      </c>
      <c r="X8" s="319"/>
      <c r="Y8" s="234" t="s">
        <v>30</v>
      </c>
      <c r="Z8" s="156">
        <v>0.84</v>
      </c>
    </row>
    <row r="9" spans="1:26" s="3" customFormat="1" ht="18" customHeight="1">
      <c r="A9" s="120"/>
      <c r="B9" s="393"/>
      <c r="C9" s="9" t="s">
        <v>37</v>
      </c>
      <c r="D9" s="396"/>
      <c r="E9" s="157">
        <v>0.8</v>
      </c>
      <c r="F9" s="147">
        <f>Brahma!R8</f>
        <v>1</v>
      </c>
      <c r="G9" s="146">
        <f>Budweiser!R8</f>
        <v>1</v>
      </c>
      <c r="H9" s="146">
        <f>Corona!R8</f>
        <v>1</v>
      </c>
      <c r="I9" s="146">
        <f>Spaten!R8</f>
        <v>0.72</v>
      </c>
      <c r="J9" s="146">
        <f>'Stella Artois'!R8</f>
        <v>1</v>
      </c>
      <c r="K9" s="146">
        <f>Skol!R8</f>
        <v>1</v>
      </c>
      <c r="L9" s="146">
        <f>BEER!R8</f>
        <v>0.86</v>
      </c>
      <c r="M9" s="146">
        <f>Beats!R8</f>
        <v>1</v>
      </c>
      <c r="N9" s="146">
        <v>0.59</v>
      </c>
      <c r="O9" s="146">
        <f>Tonica!R8</f>
        <v>0</v>
      </c>
      <c r="P9" s="146">
        <f>Fusion!$R8</f>
        <v>0</v>
      </c>
      <c r="Q9" s="146">
        <f>Mikes!$R8</f>
        <v>0</v>
      </c>
      <c r="R9" s="146">
        <f>'Flying Fish'!R8</f>
        <v>0.94</v>
      </c>
      <c r="S9" s="146">
        <f>'Brutal Fruit'!R8</f>
        <v>0</v>
      </c>
      <c r="T9" s="146">
        <f>'Zé Delivery'!R8</f>
        <v>1</v>
      </c>
      <c r="U9" s="146">
        <f>PORTFOLIO!R8</f>
        <v>0.84</v>
      </c>
      <c r="V9" s="231" t="s">
        <v>30</v>
      </c>
      <c r="W9" s="232" t="s">
        <v>30</v>
      </c>
      <c r="X9" s="266"/>
      <c r="Y9" s="192">
        <v>0.55000000000000004</v>
      </c>
      <c r="Z9" s="158">
        <v>0.55000000000000004</v>
      </c>
    </row>
    <row r="10" spans="1:26" s="3" customFormat="1" ht="18" customHeight="1">
      <c r="A10" s="120"/>
      <c r="B10" s="393"/>
      <c r="C10" s="7" t="s">
        <v>38</v>
      </c>
      <c r="D10" s="388" t="s">
        <v>39</v>
      </c>
      <c r="E10" s="144">
        <v>0.3</v>
      </c>
      <c r="F10" s="153">
        <f>Brahma!R9</f>
        <v>0.27700000000000002</v>
      </c>
      <c r="G10" s="151">
        <f>Budweiser!R9</f>
        <v>0.27700000000000002</v>
      </c>
      <c r="H10" s="151">
        <f>Corona!R9</f>
        <v>0.26600000000000001</v>
      </c>
      <c r="I10" s="151">
        <f>Spaten!R9</f>
        <v>0.21299999999999999</v>
      </c>
      <c r="J10" s="151">
        <f>'Stella Artois'!R9</f>
        <v>0.11700000000000001</v>
      </c>
      <c r="K10" s="151">
        <f>Skol!R9</f>
        <v>0.45500000000000002</v>
      </c>
      <c r="L10" s="151">
        <f>BEER!R9</f>
        <v>0.26200000000000001</v>
      </c>
      <c r="M10" s="151" t="str">
        <f>Beats!R9</f>
        <v>NA</v>
      </c>
      <c r="N10" s="151">
        <v>0.24</v>
      </c>
      <c r="O10" s="151">
        <f>Tonica!R9</f>
        <v>0.36</v>
      </c>
      <c r="P10" s="151" t="str">
        <f>Fusion!$R9</f>
        <v>NA</v>
      </c>
      <c r="Q10" s="151" t="str">
        <f>Mikes!$R9</f>
        <v>NA</v>
      </c>
      <c r="R10" s="151" t="str">
        <f>'Flying Fish'!R9</f>
        <v>NA</v>
      </c>
      <c r="S10" s="151" t="str">
        <f>'Brutal Fruit'!R9</f>
        <v>NA</v>
      </c>
      <c r="T10" s="151">
        <f>'Zé Delivery'!R9</f>
        <v>1.7999999999999999E-2</v>
      </c>
      <c r="U10" s="151">
        <f>PORTFOLIO!R9</f>
        <v>0.26200000000000001</v>
      </c>
      <c r="V10" s="235" t="s">
        <v>30</v>
      </c>
      <c r="W10" s="236" t="s">
        <v>30</v>
      </c>
      <c r="X10" s="320"/>
      <c r="Y10" s="237">
        <v>0.32</v>
      </c>
      <c r="Z10" s="149">
        <v>0.28000000000000003</v>
      </c>
    </row>
    <row r="11" spans="1:26" s="3" customFormat="1" ht="18" customHeight="1" thickBot="1">
      <c r="A11" s="120"/>
      <c r="B11" s="411"/>
      <c r="C11" s="1" t="s">
        <v>40</v>
      </c>
      <c r="D11" s="389"/>
      <c r="E11" s="163">
        <v>0.45</v>
      </c>
      <c r="F11" s="238">
        <f>Brahma!R10</f>
        <v>1</v>
      </c>
      <c r="G11" s="239">
        <f>Budweiser!R10</f>
        <v>0.23899999999999999</v>
      </c>
      <c r="H11" s="239">
        <f>Corona!R10</f>
        <v>0.56499999999999995</v>
      </c>
      <c r="I11" s="239">
        <f>Spaten!R10</f>
        <v>0.46300000000000002</v>
      </c>
      <c r="J11" s="239">
        <f>'Stella Artois'!R10</f>
        <v>0.498</v>
      </c>
      <c r="K11" s="239">
        <f>Skol!R10</f>
        <v>1</v>
      </c>
      <c r="L11" s="239">
        <f>BEER!R10</f>
        <v>0.58899999999999997</v>
      </c>
      <c r="M11" s="239" t="str">
        <f>Beats!R10</f>
        <v>NA</v>
      </c>
      <c r="N11" s="240">
        <v>0.43</v>
      </c>
      <c r="O11" s="239">
        <f>Tonica!R10</f>
        <v>0.65</v>
      </c>
      <c r="P11" s="239" t="str">
        <f>Fusion!$R10</f>
        <v>NA</v>
      </c>
      <c r="Q11" s="239" t="str">
        <f>Mikes!$R10</f>
        <v>NA</v>
      </c>
      <c r="R11" s="239" t="str">
        <f>'Flying Fish'!R10</f>
        <v>NA</v>
      </c>
      <c r="S11" s="239" t="str">
        <f>'Brutal Fruit'!R10</f>
        <v>NA</v>
      </c>
      <c r="T11" s="239" t="str">
        <f>'Zé Delivery'!R10</f>
        <v>NA</v>
      </c>
      <c r="U11" s="239">
        <f>PORTFOLIO!R10</f>
        <v>0.58899999999999997</v>
      </c>
      <c r="V11" s="235" t="s">
        <v>30</v>
      </c>
      <c r="W11" s="236" t="s">
        <v>30</v>
      </c>
      <c r="X11" s="321"/>
      <c r="Y11" s="236" t="s">
        <v>30</v>
      </c>
      <c r="Z11" s="241" t="s">
        <v>30</v>
      </c>
    </row>
    <row r="12" spans="1:26" s="3" customFormat="1" ht="18" customHeight="1">
      <c r="A12" s="120"/>
      <c r="B12" s="414" t="s">
        <v>41</v>
      </c>
      <c r="C12" s="7" t="s">
        <v>42</v>
      </c>
      <c r="D12" s="387" t="s">
        <v>51</v>
      </c>
      <c r="E12" s="166">
        <v>20.079999999999998</v>
      </c>
      <c r="F12" s="167">
        <f>Brahma!R11</f>
        <v>26.585642540322581</v>
      </c>
      <c r="G12" s="168">
        <f>Budweiser!R11</f>
        <v>27.758835618556699</v>
      </c>
      <c r="H12" s="168">
        <f>Corona!R11</f>
        <v>36.067414559659092</v>
      </c>
      <c r="I12" s="168">
        <f>Spaten!R11</f>
        <v>25.691830565838181</v>
      </c>
      <c r="J12" s="242" t="s">
        <v>30</v>
      </c>
      <c r="K12" s="243" t="s">
        <v>30</v>
      </c>
      <c r="L12" s="168">
        <f>BEER!R11</f>
        <v>29.564220050993306</v>
      </c>
      <c r="M12" s="168">
        <f>Beats!R11</f>
        <v>0</v>
      </c>
      <c r="N12" s="242" t="s">
        <v>30</v>
      </c>
      <c r="O12" s="242" t="s">
        <v>30</v>
      </c>
      <c r="P12" s="242" t="s">
        <v>30</v>
      </c>
      <c r="Q12" s="242" t="s">
        <v>30</v>
      </c>
      <c r="R12" s="340" t="str">
        <f>'Flying Fish'!R11</f>
        <v>NA</v>
      </c>
      <c r="S12" s="340">
        <f>'Brutal Fruit'!R11</f>
        <v>452.76875000000001</v>
      </c>
      <c r="T12" s="168">
        <f>'Zé Delivery'!R11</f>
        <v>24.193663726790451</v>
      </c>
      <c r="U12" s="168">
        <f>PORTFOLIO!R11</f>
        <v>28.576828610735493</v>
      </c>
      <c r="V12" s="242" t="s">
        <v>30</v>
      </c>
      <c r="W12" s="244" t="s">
        <v>30</v>
      </c>
      <c r="X12" s="291"/>
      <c r="Y12" s="245">
        <v>34.369999999999997</v>
      </c>
      <c r="Z12" s="170">
        <v>49.16</v>
      </c>
    </row>
    <row r="13" spans="1:26" s="3" customFormat="1" ht="18" customHeight="1" thickBot="1">
      <c r="A13" s="120"/>
      <c r="B13" s="414"/>
      <c r="C13" s="7" t="s">
        <v>43</v>
      </c>
      <c r="D13" s="389"/>
      <c r="E13" s="166">
        <v>1.75</v>
      </c>
      <c r="F13" s="348">
        <f>Brahma!R12</f>
        <v>5.5272892510184892</v>
      </c>
      <c r="G13" s="171">
        <f>Budweiser!R12</f>
        <v>3.8268283677402875</v>
      </c>
      <c r="H13" s="171">
        <f>Corona!R12</f>
        <v>3.8181057258312263</v>
      </c>
      <c r="I13" s="171">
        <f>Spaten!R12</f>
        <v>5.887425029434171</v>
      </c>
      <c r="J13" s="246" t="s">
        <v>30</v>
      </c>
      <c r="K13" s="171">
        <f>Skol!R11</f>
        <v>0</v>
      </c>
      <c r="L13" s="171">
        <f>BEER!R12</f>
        <v>4.468793090721193</v>
      </c>
      <c r="M13" s="349">
        <f>Beats!R12</f>
        <v>0</v>
      </c>
      <c r="N13" s="247" t="s">
        <v>30</v>
      </c>
      <c r="O13" s="247" t="s">
        <v>30</v>
      </c>
      <c r="P13" s="247" t="s">
        <v>30</v>
      </c>
      <c r="Q13" s="247" t="s">
        <v>30</v>
      </c>
      <c r="R13" s="350" t="str">
        <f>'Flying Fish'!R12</f>
        <v>NA</v>
      </c>
      <c r="S13" s="350" t="str">
        <f>'Brutal Fruit'!R12</f>
        <v>NA</v>
      </c>
      <c r="T13" s="349">
        <f>'Zé Delivery'!R12</f>
        <v>3.1270987569618209</v>
      </c>
      <c r="U13" s="349">
        <f>PORTFOLIO!R12</f>
        <v>3.9019209146481826</v>
      </c>
      <c r="V13" s="247" t="s">
        <v>30</v>
      </c>
      <c r="W13" s="248" t="s">
        <v>30</v>
      </c>
      <c r="X13" s="344"/>
      <c r="Y13" s="351">
        <v>3.12</v>
      </c>
      <c r="Z13" s="170">
        <v>9.1300000000000008</v>
      </c>
    </row>
    <row r="14" spans="1:26" s="3" customFormat="1" ht="18" customHeight="1">
      <c r="A14" s="120"/>
      <c r="B14" s="384" t="s">
        <v>44</v>
      </c>
      <c r="C14" s="6" t="s">
        <v>45</v>
      </c>
      <c r="D14" s="388" t="s">
        <v>46</v>
      </c>
      <c r="E14" s="139">
        <v>0.8</v>
      </c>
      <c r="F14" s="164" t="str">
        <f>Brahma!R13</f>
        <v>NA</v>
      </c>
      <c r="G14" s="140">
        <f>Budweiser!R13</f>
        <v>1</v>
      </c>
      <c r="H14" s="140" t="str">
        <f>Corona!R13</f>
        <v>NA</v>
      </c>
      <c r="I14" s="140">
        <f>Spaten!R13</f>
        <v>1</v>
      </c>
      <c r="J14" s="140">
        <f>'Stella Artois'!R11</f>
        <v>1</v>
      </c>
      <c r="K14" s="140">
        <f>Skol!R12</f>
        <v>1</v>
      </c>
      <c r="L14" s="140">
        <f>BEER!R13</f>
        <v>1</v>
      </c>
      <c r="M14" s="250" t="str">
        <f>Beats!R13</f>
        <v>NA</v>
      </c>
      <c r="N14" s="160">
        <v>1</v>
      </c>
      <c r="O14" s="250">
        <f>Tonica!R11</f>
        <v>0</v>
      </c>
      <c r="P14" s="250">
        <f>Fusion!R11</f>
        <v>0</v>
      </c>
      <c r="Q14" s="250">
        <f>Mikes!R11</f>
        <v>0</v>
      </c>
      <c r="R14" s="338" t="str">
        <f>'Flying Fish'!R13</f>
        <v>NA</v>
      </c>
      <c r="S14" s="338" t="str">
        <f>'Brutal Fruit'!R13</f>
        <v>NA</v>
      </c>
      <c r="T14" s="161" t="str">
        <f>'Zé Delivery'!R13</f>
        <v>NA</v>
      </c>
      <c r="U14" s="160">
        <f>PORTFOLIO!R13</f>
        <v>1</v>
      </c>
      <c r="V14" s="246" t="s">
        <v>30</v>
      </c>
      <c r="W14" s="236" t="s">
        <v>30</v>
      </c>
      <c r="X14" s="279"/>
      <c r="Y14" s="202">
        <v>0.73</v>
      </c>
      <c r="Z14" s="175">
        <v>0.42</v>
      </c>
    </row>
    <row r="15" spans="1:26" s="3" customFormat="1" ht="18" customHeight="1">
      <c r="A15" s="120"/>
      <c r="B15" s="385"/>
      <c r="C15" s="7" t="s">
        <v>47</v>
      </c>
      <c r="D15" s="388"/>
      <c r="E15" s="144">
        <v>0.9</v>
      </c>
      <c r="F15" s="164" t="str">
        <f>Brahma!R14</f>
        <v>NA</v>
      </c>
      <c r="G15" s="159">
        <f>Budweiser!R14</f>
        <v>1</v>
      </c>
      <c r="H15" s="246" t="str">
        <f>Corona!R14</f>
        <v>NA</v>
      </c>
      <c r="I15" s="160" t="str">
        <f>Spaten!R14</f>
        <v>NA</v>
      </c>
      <c r="J15" s="160" t="str">
        <f>'Stella Artois'!R12</f>
        <v>NA</v>
      </c>
      <c r="K15" s="160" t="str">
        <f>Skol!R13</f>
        <v>NA</v>
      </c>
      <c r="L15" s="159">
        <f>BEER!R14</f>
        <v>0.13</v>
      </c>
      <c r="M15" s="250" t="str">
        <f>Beats!R14</f>
        <v>NA</v>
      </c>
      <c r="N15" s="159">
        <v>0.51</v>
      </c>
      <c r="O15" s="250">
        <f>Tonica!R12</f>
        <v>0</v>
      </c>
      <c r="P15" s="250">
        <f>Fusion!R12</f>
        <v>0</v>
      </c>
      <c r="Q15" s="250">
        <f>Mikes!R12</f>
        <v>0</v>
      </c>
      <c r="R15" s="338" t="str">
        <f>'Flying Fish'!R14</f>
        <v>NA</v>
      </c>
      <c r="S15" s="338" t="str">
        <f>'Brutal Fruit'!R14</f>
        <v>NA</v>
      </c>
      <c r="T15" s="161" t="str">
        <f>'Zé Delivery'!R14</f>
        <v>NA</v>
      </c>
      <c r="U15" s="159">
        <f>PORTFOLIO!R14</f>
        <v>0.16</v>
      </c>
      <c r="V15" s="160">
        <f>BEER!S14</f>
        <v>0.92</v>
      </c>
      <c r="W15" s="176">
        <f>PORTFOLIO!S14</f>
        <v>0.87</v>
      </c>
      <c r="X15" s="279"/>
      <c r="Y15" s="202">
        <v>0.27</v>
      </c>
      <c r="Z15" s="249" t="s">
        <v>30</v>
      </c>
    </row>
    <row r="16" spans="1:26" ht="16" customHeight="1" thickBot="1">
      <c r="A16" s="120"/>
      <c r="B16" s="386"/>
      <c r="C16" s="1" t="s">
        <v>48</v>
      </c>
      <c r="D16" s="389"/>
      <c r="E16" s="163">
        <v>0.05</v>
      </c>
      <c r="F16" s="177" t="str">
        <f>Brahma!R15</f>
        <v>NA</v>
      </c>
      <c r="G16" s="178" t="str">
        <f>Budweiser!R15</f>
        <v>NA</v>
      </c>
      <c r="H16" s="178" t="str">
        <f>Corona!R15</f>
        <v>NA</v>
      </c>
      <c r="I16" s="178" t="str">
        <f>Spaten!R15</f>
        <v>NA</v>
      </c>
      <c r="J16" s="178">
        <f>'Stella Artois'!R13</f>
        <v>6.4999999999999997E-3</v>
      </c>
      <c r="K16" s="178">
        <f>Skol!R14</f>
        <v>1E-4</v>
      </c>
      <c r="L16" s="178">
        <f>BEER!R15</f>
        <v>3.2000000000000002E-3</v>
      </c>
      <c r="M16" s="251" t="str">
        <f>Beats!R15</f>
        <v>NA</v>
      </c>
      <c r="N16" s="179">
        <v>0.04</v>
      </c>
      <c r="O16" s="251">
        <f>Tonica!R13</f>
        <v>0</v>
      </c>
      <c r="P16" s="251">
        <f>Fusion!R13</f>
        <v>0</v>
      </c>
      <c r="Q16" s="251">
        <f>Mikes!R13</f>
        <v>0</v>
      </c>
      <c r="R16" s="339" t="str">
        <f>'Flying Fish'!R15</f>
        <v>NA</v>
      </c>
      <c r="S16" s="339" t="str">
        <f>'Brutal Fruit'!R15</f>
        <v>NA</v>
      </c>
      <c r="T16" s="180" t="str">
        <f>'Zé Delivery'!R15</f>
        <v>NA</v>
      </c>
      <c r="U16" s="178">
        <f>PORTFOLIO!R15</f>
        <v>1.2500000000000001E-2</v>
      </c>
      <c r="V16" s="247" t="s">
        <v>30</v>
      </c>
      <c r="W16" s="252" t="s">
        <v>30</v>
      </c>
      <c r="X16" s="322"/>
      <c r="Y16" s="252" t="s">
        <v>30</v>
      </c>
      <c r="Z16" s="241" t="s">
        <v>30</v>
      </c>
    </row>
    <row r="17" spans="1:26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8"/>
      <c r="P17" s="118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8"/>
      <c r="Q18" s="118"/>
      <c r="R18" s="118"/>
      <c r="S18" s="118"/>
      <c r="T18" s="119"/>
      <c r="U18" s="119"/>
      <c r="V18" s="119"/>
      <c r="W18" s="119"/>
      <c r="X18" s="119"/>
      <c r="Y18" s="119"/>
      <c r="Z18" s="119"/>
    </row>
    <row r="19" spans="1:26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8"/>
      <c r="Q19" s="118"/>
      <c r="R19" s="118"/>
      <c r="S19" s="118"/>
      <c r="T19" s="119"/>
      <c r="U19" s="119"/>
      <c r="V19" s="119"/>
      <c r="W19" s="119"/>
      <c r="X19" s="119"/>
      <c r="Y19" s="119"/>
      <c r="Z19" s="119"/>
    </row>
    <row r="20" spans="1:26">
      <c r="F20" s="89"/>
      <c r="G20" s="89"/>
      <c r="H20" s="89"/>
    </row>
    <row r="23" spans="1:26">
      <c r="G23" s="91"/>
    </row>
    <row r="25" spans="1:26">
      <c r="D25" s="18"/>
    </row>
    <row r="26" spans="1:26">
      <c r="D26" s="18"/>
      <c r="F26" s="94"/>
    </row>
    <row r="27" spans="1:26">
      <c r="D27" s="90"/>
    </row>
  </sheetData>
  <mergeCells count="35">
    <mergeCell ref="A18:B18"/>
    <mergeCell ref="R3:R4"/>
    <mergeCell ref="A19:B19"/>
    <mergeCell ref="P3:P4"/>
    <mergeCell ref="Q3:Q4"/>
    <mergeCell ref="N3:N4"/>
    <mergeCell ref="O3:O4"/>
    <mergeCell ref="A17:B17"/>
    <mergeCell ref="D8:D9"/>
    <mergeCell ref="D10:D11"/>
    <mergeCell ref="B12:B13"/>
    <mergeCell ref="D12:D13"/>
    <mergeCell ref="B14:B16"/>
    <mergeCell ref="D14:D16"/>
    <mergeCell ref="D6:D7"/>
    <mergeCell ref="B6:B11"/>
    <mergeCell ref="Y3:Y4"/>
    <mergeCell ref="Z3:Z4"/>
    <mergeCell ref="X3:X4"/>
    <mergeCell ref="T3:T4"/>
    <mergeCell ref="A1:B1"/>
    <mergeCell ref="B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S3:S4"/>
    <mergeCell ref="K3:K4"/>
    <mergeCell ref="M3:M4"/>
  </mergeCells>
  <conditionalFormatting sqref="F5:U5">
    <cfRule type="beginsWith" dxfId="309" priority="3" stopIfTrue="1" operator="beginsWith" text="NA">
      <formula>LEFT(F5,LEN("NA"))="NA"</formula>
    </cfRule>
    <cfRule type="cellIs" dxfId="308" priority="11" stopIfTrue="1" operator="notBetween">
      <formula>0.22</formula>
      <formula>0.32</formula>
    </cfRule>
    <cfRule type="containsBlanks" dxfId="307" priority="21">
      <formula>LEN(TRIM(F5))=0</formula>
    </cfRule>
    <cfRule type="cellIs" dxfId="306" priority="21" stopIfTrue="1" operator="between">
      <formula>0.22</formula>
      <formula>0.32</formula>
    </cfRule>
    <cfRule type="containsBlanks" dxfId="305" priority="21" stopIfTrue="1">
      <formula>LEN(TRIM(F5))=0</formula>
    </cfRule>
  </conditionalFormatting>
  <conditionalFormatting sqref="F5:U16">
    <cfRule type="cellIs" dxfId="304" priority="1" stopIfTrue="1" operator="equal">
      <formula>0</formula>
    </cfRule>
    <cfRule type="containsText" dxfId="303" priority="2" stopIfTrue="1" operator="containsText" text="NA">
      <formula>NOT(ISERROR(SEARCH("NA",F5)))</formula>
    </cfRule>
  </conditionalFormatting>
  <conditionalFormatting sqref="F6:U9">
    <cfRule type="cellIs" dxfId="302" priority="17" stopIfTrue="1" operator="lessThan">
      <formula>0.8</formula>
    </cfRule>
    <cfRule type="cellIs" dxfId="301" priority="19" stopIfTrue="1" operator="greaterThan">
      <formula>0.8</formula>
    </cfRule>
  </conditionalFormatting>
  <conditionalFormatting sqref="F10:U11 F14:U15">
    <cfRule type="cellIs" dxfId="300" priority="8" stopIfTrue="1" operator="lessThan">
      <formula>$E10</formula>
    </cfRule>
    <cfRule type="cellIs" dxfId="299" priority="9" stopIfTrue="1" operator="greaterThan">
      <formula>$E10</formula>
    </cfRule>
  </conditionalFormatting>
  <conditionalFormatting sqref="F12:U13">
    <cfRule type="cellIs" dxfId="298" priority="10" stopIfTrue="1" operator="greaterThan">
      <formula>$E12</formula>
    </cfRule>
    <cfRule type="cellIs" dxfId="297" priority="15" operator="lessThan">
      <formula>$E12</formula>
    </cfRule>
  </conditionalFormatting>
  <conditionalFormatting sqref="F16:U16">
    <cfRule type="cellIs" dxfId="296" priority="6" stopIfTrue="1" operator="lessThan">
      <formula>$E$16</formula>
    </cfRule>
    <cfRule type="cellIs" dxfId="295" priority="7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E640-3E1C-4DAD-BA86-7D3DFF05A8A2}">
  <sheetPr codeName="Sheet3">
    <tabColor theme="8" tint="0.79998168889431442"/>
  </sheetPr>
  <dimension ref="A1:X27"/>
  <sheetViews>
    <sheetView showGridLines="0" zoomScale="75" zoomScaleNormal="111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6" customWidth="1"/>
    <col min="4" max="4" width="13.5" bestFit="1" customWidth="1"/>
    <col min="5" max="5" width="9.6640625" customWidth="1"/>
    <col min="6" max="17" width="10.83203125" style="2" customWidth="1"/>
    <col min="18" max="18" width="8.6640625" style="2" bestFit="1" customWidth="1"/>
    <col min="19" max="20" width="10.1640625" style="2" customWidth="1"/>
    <col min="21" max="22" width="8.6640625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74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Database!$M:$M, "*Portfolio*", Database!$L:$L, MONTH(PORTFOLIO!F$3)) / SUMIFS(Database!$P:$P, Database!$M:$M, "*Portfolio*", Database!$L:$L, MONTH(PORTFOLIO!F$3)), "NA")</f>
        <v>0.23846385470853546</v>
      </c>
      <c r="G4" s="258" t="str">
        <f>IFERROR(SUMIFS(Database!$O:$O, Database!$M:$M, "*Portfolio*", Database!$L:$L, MONTH(PORTFOLIO!G$3)) / SUMIFS(Database!$P:$P, Database!$M:$M, "*Portfolio*", Database!$L:$L, MONTH(PORTFOLIO!G$3)), "")</f>
        <v/>
      </c>
      <c r="H4" s="259" t="str">
        <f>IFERROR(SUMIFS(Database!$O:$O, Database!$M:$M, "*Portfolio*", Database!$L:$L, MONTH(PORTFOLIO!H$3)) / SUMIFS(Database!$P:$P, Database!$M:$M, "*Portfolio*", Database!$L:$L, MONTH(PORTFOLIO!H$3)), "")</f>
        <v/>
      </c>
      <c r="I4" s="257" t="str">
        <f>IFERROR(SUMIFS(Database!$O:$O, Database!$M:$M, "*Portfolio*", Database!$L:$L, MONTH(PORTFOLIO!I$3)) / SUMIFS(Database!$P:$P, Database!$M:$M, "*Portfolio*", Database!$L:$L, MONTH(PORTFOLIO!I$3)), "")</f>
        <v/>
      </c>
      <c r="J4" s="258" t="str">
        <f>IFERROR(SUMIFS(Database!$O:$O, Database!$M:$M, "*Portfolio*", Database!$L:$L, MONTH(PORTFOLIO!J$3)) / SUMIFS(Database!$P:$P, Database!$M:$M, "*Portfolio*", Database!$L:$L, MONTH(PORTFOLIO!J$3)), "")</f>
        <v/>
      </c>
      <c r="K4" s="259" t="str">
        <f>IFERROR(SUMIFS(Database!$O:$O, Database!$M:$M, "*Portfolio*", Database!$L:$L, MONTH(PORTFOLIO!K$3)) / SUMIFS(Database!$P:$P, Database!$M:$M, "*Portfolio*", Database!$L:$L, MONTH(PORTFOLIO!K$3)), "")</f>
        <v/>
      </c>
      <c r="L4" s="257" t="str">
        <f>IFERROR(SUMIFS(Database!$O:$O, Database!$M:$M, "*Portfolio*", Database!$L:$L, MONTH(PORTFOLIO!L$3)) / SUMIFS(Database!$P:$P, Database!$M:$M, "*Portfolio*", Database!$L:$L, MONTH(PORTFOLIO!L$3)), "")</f>
        <v/>
      </c>
      <c r="M4" s="258" t="str">
        <f>IFERROR(SUMIFS(Database!$O:$O, Database!$M:$M, "*Portfolio*", Database!$L:$L, MONTH(PORTFOLIO!M$3)) / SUMIFS(Database!$P:$P, Database!$M:$M, "*Portfolio*", Database!$L:$L, MONTH(PORTFOLIO!M$3)), "")</f>
        <v/>
      </c>
      <c r="N4" s="259" t="str">
        <f>IFERROR(SUMIFS(Database!$O:$O, Database!$M:$M, "*Portfolio*", Database!$L:$L, MONTH(PORTFOLIO!N$3)) / SUMIFS(Database!$P:$P, Database!$M:$M, "*Portfolio*", Database!$L:$L, MONTH(PORTFOLIO!N$3)), "")</f>
        <v/>
      </c>
      <c r="O4" s="260" t="str">
        <f>IFERROR(SUMIFS(Database!$O:$O, Database!$M:$M, "*Portfolio*", Database!$L:$L, MONTH(PORTFOLIO!O$3)) / SUMIFS(Database!$P:$P, Database!$M:$M, "*Portfolio*", Database!$L:$L, MONTH(PORTFOLIO!O$3)), "")</f>
        <v/>
      </c>
      <c r="P4" s="258" t="str">
        <f>IFERROR(SUMIFS(Database!$O:$O, Database!$M:$M, "*Portfolio*", Database!$L:$L, MONTH(PORTFOLIO!P$3)) / SUMIFS(Database!$P:$P, Database!$M:$M, "*Portfolio*", Database!$L:$L, MONTH(PORTFOLIO!P$3)), "")</f>
        <v/>
      </c>
      <c r="Q4" s="259" t="str">
        <f>IFERROR(SUMIFS(Database!$O:$O, Database!$M:$M, "*Portfolio*", Database!$L:$L, MONTH(PORTFOLIO!Q$3)) / SUMIFS(Database!$P:$P, Database!$M:$M, "*Portfolio*", Database!$L:$L, MONTH(PORTFOLIO!Q$3)), "")</f>
        <v/>
      </c>
      <c r="R4" s="259">
        <f>IFERROR(SUMIFS(Database!$O:$O, Database!$M:$M, "*Portfolio*") / SUMIFS(Database!$P:$P, Database!$M:$M, "*Portfolio*"), "")</f>
        <v>0.23846385470853546</v>
      </c>
      <c r="S4" s="136"/>
      <c r="T4" s="137">
        <v>0.25</v>
      </c>
      <c r="U4" s="137">
        <v>0.28000000000000003</v>
      </c>
      <c r="V4" s="137">
        <v>0.32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142">
        <v>1</v>
      </c>
      <c r="T5" s="175">
        <v>0.8</v>
      </c>
      <c r="U5" s="175">
        <v>0.56000000000000005</v>
      </c>
      <c r="V5" s="190" t="s">
        <v>33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Database!$C:$C, "*Portfolio*", Database!$D:$D, MONTH(PORTFOLIO!F$3)) / SUMIFS(Database!$G:$G, Database!$C:$C, "*Portfolio*", Database!$D:$D, MONTH(PORTFOLIO!F$3)), "NA")</f>
        <v>0.90260754336919913</v>
      </c>
      <c r="G6" s="265" t="str">
        <f>IFERROR(SUMIFS(Database!$H:$H, Database!$C:$C, "*Portfolio*", Database!$D:$D, MONTH(PORTFOLIO!G$3)) / SUMIFS(Database!$G:$G, Database!$C:$C, "*Portfolio*", Database!$D:$D, MONTH(PORTFOLIO!G$3)), "")</f>
        <v/>
      </c>
      <c r="H6" s="266" t="str">
        <f>IFERROR(SUMIFS(Database!$H:$H, Database!$C:$C, "*Portfolio*", Database!$D:$D, MONTH(PORTFOLIO!H$3)) / SUMIFS(Database!$G:$G, Database!$C:$C, "*Portfolio*", Database!$D:$D, MONTH(PORTFOLIO!H$3)), "")</f>
        <v/>
      </c>
      <c r="I6" s="265" t="str">
        <f>IFERROR(SUMIFS(Database!$H:$H, Database!$C:$C, "*Portfolio*", Database!$D:$D, MONTH(PORTFOLIO!I$3)) / SUMIFS(Database!$G:$G, Database!$C:$C, "*Portfolio*", Database!$D:$D, MONTH(PORTFOLIO!I$3)), "")</f>
        <v/>
      </c>
      <c r="J6" s="265" t="str">
        <f>IFERROR(SUMIFS(Database!$H:$H, Database!$C:$C, "*Portfolio*", Database!$D:$D, MONTH(PORTFOLIO!J$3)) / SUMIFS(Database!$G:$G, Database!$C:$C, "*Portfolio*", Database!$D:$D, MONTH(PORTFOLIO!J$3)), "")</f>
        <v/>
      </c>
      <c r="K6" s="277" t="str">
        <f>IFERROR(SUMIFS(Database!$H:$H, Database!$C:$C, "*Portfolio*", Database!$D:$D, MONTH(PORTFOLIO!K$3)) / SUMIFS(Database!$G:$G, Database!$C:$C, "*Portfolio*", Database!$D:$D, MONTH(PORTFOLIO!K$3)), "")</f>
        <v/>
      </c>
      <c r="L6" s="265" t="str">
        <f>IFERROR(SUMIFS(Database!$H:$H, Database!$C:$C, "*Portfolio*", Database!$D:$D, MONTH(PORTFOLIO!L$3)) / SUMIFS(Database!$G:$G, Database!$C:$C, "*Portfolio*", Database!$D:$D, MONTH(PORTFOLIO!L$3)), "")</f>
        <v/>
      </c>
      <c r="M6" s="265" t="str">
        <f>IFERROR(SUMIFS(Database!$H:$H, Database!$C:$C, "*Portfolio*", Database!$D:$D, MONTH(PORTFOLIO!M$3)) / SUMIFS(Database!$G:$G, Database!$C:$C, "*Portfolio*", Database!$D:$D, MONTH(PORTFOLIO!M$3)), "")</f>
        <v/>
      </c>
      <c r="N6" s="277" t="str">
        <f>IFERROR(SUMIFS(Database!$H:$H, Database!$C:$C, "*Portfolio*", Database!$D:$D, MONTH(PORTFOLIO!N$3)) / SUMIFS(Database!$G:$G, Database!$C:$C, "*Portfolio*", Database!$D:$D, MONTH(PORTFOLIO!N$3)), "")</f>
        <v/>
      </c>
      <c r="O6" s="265" t="str">
        <f>IFERROR(SUMIFS(Database!$H:$H, Database!$C:$C, "*Portfolio*", Database!$D:$D, MONTH(PORTFOLIO!O$3)) / SUMIFS(Database!$G:$G, Database!$C:$C, "*Portfolio*", Database!$D:$D, MONTH(PORTFOLIO!O$3)), "")</f>
        <v/>
      </c>
      <c r="P6" s="265" t="str">
        <f>IFERROR(SUMIFS(Database!$H:$H, Database!$C:$C, "*Portfolio*", Database!$D:$D, MONTH(PORTFOLIO!P$3)) / SUMIFS(Database!$G:$G, Database!$C:$C, "*Portfolio*", Database!$D:$D, MONTH(PORTFOLIO!P$3)), "")</f>
        <v/>
      </c>
      <c r="Q6" s="277" t="str">
        <f>IFERROR(SUMIFS(Database!$H:$H, Database!$C:$C, "*Portfolio*", Database!$D:$D, MONTH(PORTFOLIO!Q$3)) / SUMIFS(Database!$G:$G, Database!$C:$C, "*Portfolio*", Database!$D:$D, MONTH(PORTFOLIO!Q$3)), "")</f>
        <v/>
      </c>
      <c r="R6" s="266">
        <f>IFERROR(SUMIFS(Database!$H:$H, Database!$C:$C, "*Portfolio*") / SUMIFS(Database!$G:$G, Database!$C:$C, "*Portfolio*"), "")</f>
        <v>0.90260754336919913</v>
      </c>
      <c r="S6" s="148"/>
      <c r="T6" s="149">
        <v>0.62</v>
      </c>
      <c r="U6" s="149">
        <v>0.77</v>
      </c>
      <c r="V6" s="149">
        <v>0.7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270"/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72"/>
      <c r="S7" s="154"/>
      <c r="T7" s="155" t="s">
        <v>30</v>
      </c>
      <c r="U7" s="155" t="s">
        <v>30</v>
      </c>
      <c r="V7" s="155" t="s">
        <v>30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0.84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0.84</v>
      </c>
      <c r="S8" s="148"/>
      <c r="T8" s="158">
        <v>0.7</v>
      </c>
      <c r="U8" s="158">
        <v>0.55000000000000004</v>
      </c>
      <c r="V8" s="158">
        <v>0.55000000000000004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IF(_xlfn.XLOOKUP("TOTAL PORTFOLIO", Database!$AG$4:$AG$19, Database!AI$4:AI$19)=0,"",_xlfn.XLOOKUP("TOTAL PORTFOLIO", Database!$AG$4:$AG$19, Database!AI$4:AI$19))</f>
        <v>0.26200000000000001</v>
      </c>
      <c r="G9" s="268" t="str">
        <f>IF(_xlfn.XLOOKUP("TOTAL PORTFOLIO", Database!$AG$4:$AG$19, Database!AJ$4:AJ$19)=0,"",_xlfn.XLOOKUP("TOTAL PORTFOLIO", Database!$AG$4:$AG$19, Database!AJ$4:AJ$19))</f>
        <v/>
      </c>
      <c r="H9" s="279" t="str">
        <f>IF(_xlfn.XLOOKUP("TOTAL PORTFOLIO", Database!$AG$4:$AG$19, Database!AK$4:AK$19)=0,"",_xlfn.XLOOKUP("TOTAL PORTFOLIO", Database!$AG$4:$AG$19, Database!AK$4:AK$19))</f>
        <v/>
      </c>
      <c r="I9" s="267" t="str">
        <f>IF(_xlfn.XLOOKUP("TOTAL PORTFOLIO", Database!$AG$4:$AG$19, Database!AL$4:AL$19)=0,"",_xlfn.XLOOKUP("TOTAL PORTFOLIO", Database!$AG$4:$AG$19, Database!AL$4:AL$19))</f>
        <v/>
      </c>
      <c r="J9" s="268" t="str">
        <f>IF(_xlfn.XLOOKUP("TOTAL PORTFOLIO", Database!$AG$4:$AG$19, Database!AM$4:AM$19)=0,"",_xlfn.XLOOKUP("TOTAL PORTFOLIO", Database!$AG$4:$AG$19, Database!AM$4:AM$19))</f>
        <v/>
      </c>
      <c r="K9" s="280" t="str">
        <f>IF(_xlfn.XLOOKUP("TOTAL PORTFOLIO", Database!$AG$4:$AG$19, Database!AN$4:AN$19)=0,"",_xlfn.XLOOKUP("TOTAL PORTFOLIO", Database!$AG$4:$AG$19, Database!AN$4:AN$19))</f>
        <v/>
      </c>
      <c r="L9" s="267" t="str">
        <f>IF(_xlfn.XLOOKUP("TOTAL PORTFOLIO", Database!$AG$4:$AG$19, Database!AO$4:AO$19)=0,"",_xlfn.XLOOKUP("TOTAL PORTFOLIO", Database!$AG$4:$AG$19, Database!AO$4:AO$19))</f>
        <v/>
      </c>
      <c r="M9" s="268" t="str">
        <f>IF(_xlfn.XLOOKUP("TOTAL PORTFOLIO", Database!$AG$4:$AG$19, Database!AP$4:AP$19)=0,"",_xlfn.XLOOKUP("TOTAL PORTFOLIO", Database!$AG$4:$AG$19, Database!AP$4:AP$19))</f>
        <v/>
      </c>
      <c r="N9" s="281" t="str">
        <f>IF(_xlfn.XLOOKUP("TOTAL PORTFOLIO", Database!$AG$4:$AG$19, Database!AQ$4:AQ$19)=0,"",_xlfn.XLOOKUP("TOTAL PORTFOLIO", Database!$AG$4:$AG$19, Database!AQ$4:AQ$19))</f>
        <v/>
      </c>
      <c r="O9" s="267" t="str">
        <f>IF(_xlfn.XLOOKUP("TOTAL PORTFOLIO", Database!$AG$4:$AG$19, Database!AR$4:AR$19)=0,"",_xlfn.XLOOKUP("TOTAL PORTFOLIO", Database!$AG$4:$AG$19, Database!AR$4:AR$19))</f>
        <v/>
      </c>
      <c r="P9" s="268" t="str">
        <f>IF(_xlfn.XLOOKUP("TOTAL PORTFOLIO", Database!$AG$4:$AG$19, Database!AS$4:AS$19)=0,"",_xlfn.XLOOKUP("TOTAL PORTFOLIO", Database!$AG$4:$AG$19, Database!AS$4:AS$19))</f>
        <v/>
      </c>
      <c r="Q9" s="281" t="str">
        <f>IF(_xlfn.XLOOKUP("TOTAL PORTFOLIO", Database!$AG$4:$AG$19, Database!AT$4:AT$19)=0,"",_xlfn.XLOOKUP("TOTAL PORTFOLIO", Database!$AG$4:$AG$19, Database!AT$4:AT$19))</f>
        <v/>
      </c>
      <c r="R9" s="279">
        <f>IF(_xlfn.XLOOKUP("TOTAL PORTFOLIO", Database!$AG$4:$AG$19, Database!AH$4:AH$19)=0,"",_xlfn.XLOOKUP("TOTAL PORTFOLIO", Database!$AG$4:$AG$19, Database!AH$4:AH$19))</f>
        <v>0.26200000000000001</v>
      </c>
      <c r="S9" s="162"/>
      <c r="T9" s="149">
        <v>0.34</v>
      </c>
      <c r="U9" s="149">
        <v>0.32</v>
      </c>
      <c r="V9" s="149">
        <v>0.28000000000000003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8"/>
      <c r="E10" s="163">
        <v>0.45</v>
      </c>
      <c r="F10" s="267">
        <f>IF(_xlfn.XLOOKUP("TOTAL PORTFOLIO", Database!$AG$29:$AG$44,Database!AI$29:AI$44)=0,"",_xlfn.XLOOKUP("TOTAL PORTFOLIO", Database!$AG$29:$AG$44,Database!AI$29:AI$44))</f>
        <v>0.58899999999999997</v>
      </c>
      <c r="G10" s="268" t="str">
        <f>IF(_xlfn.XLOOKUP("TOTAL PORTFOLIO", Database!$AG$29:$AG$44,Database!AJ$29:AJ$44)=0,"",_xlfn.XLOOKUP("TOTAL PORTFOLIO", Database!$AG$29:$AG$44,Database!AJ$29:AJ$44))</f>
        <v/>
      </c>
      <c r="H10" s="279" t="str">
        <f>IF(_xlfn.XLOOKUP("TOTAL PORTFOLIO", Database!$AG$29:$AG$44,Database!AK$29:AK$44)=0,"",_xlfn.XLOOKUP("TOTAL PORTFOLIO", Database!$AG$29:$AG$44,Database!AK$29:AK$44))</f>
        <v/>
      </c>
      <c r="I10" s="267" t="str">
        <f>IF(_xlfn.XLOOKUP("TOTAL PORTFOLIO", Database!$AG$29:$AG$44,Database!AL$29:AL$44)=0,"",_xlfn.XLOOKUP("TOTAL PORTFOLIO", Database!$AG$29:$AG$44,Database!AL$29:AL$44))</f>
        <v/>
      </c>
      <c r="J10" s="268" t="str">
        <f>IF(_xlfn.XLOOKUP("TOTAL PORTFOLIO", Database!$AG$29:$AG$44,Database!AM$29:AM$44)=0,"",_xlfn.XLOOKUP("TOTAL PORTFOLIO", Database!$AG$29:$AG$44,Database!AM$29:AM$44))</f>
        <v/>
      </c>
      <c r="K10" s="280" t="str">
        <f>IF(_xlfn.XLOOKUP("TOTAL PORTFOLIO", Database!$AG$29:$AG$44,Database!AN$29:AN$44)=0,"",_xlfn.XLOOKUP("TOTAL PORTFOLIO", Database!$AG$29:$AG$44,Database!AN$29:AN$44))</f>
        <v/>
      </c>
      <c r="L10" s="283" t="str">
        <f>IF(_xlfn.XLOOKUP("TOTAL PORTFOLIO", Database!$AG$29:$AG$44,Database!AO$29:AO$44)=0,"",_xlfn.XLOOKUP("TOTAL PORTFOLIO", Database!$AG$29:$AG$44,Database!AO$29:AO$44))</f>
        <v/>
      </c>
      <c r="M10" s="284" t="str">
        <f>IF(_xlfn.XLOOKUP("TOTAL PORTFOLIO", Database!$AG$29:$AG$44,Database!AP$29:AP$44)=0,"",_xlfn.XLOOKUP("TOTAL PORTFOLIO", Database!$AG$29:$AG$44,Database!AP$29:AP$44))</f>
        <v/>
      </c>
      <c r="N10" s="285" t="str">
        <f>IF(_xlfn.XLOOKUP("TOTAL PORTFOLIO", Database!$AG$29:$AG$44,Database!AQ$29:AQ$44)=0,"",_xlfn.XLOOKUP("TOTAL PORTFOLIO", Database!$AG$29:$AG$44,Database!AQ$29:AQ$44))</f>
        <v/>
      </c>
      <c r="O10" s="283" t="str">
        <f>IF(_xlfn.XLOOKUP("TOTAL PORTFOLIO", Database!$AG$29:$AG$44,Database!AR$29:AR$44)=0,"",_xlfn.XLOOKUP("TOTAL PORTFOLIO", Database!$AG$29:$AG$44,Database!AR$29:AR$44))</f>
        <v/>
      </c>
      <c r="P10" s="284" t="str">
        <f>IF(_xlfn.XLOOKUP("TOTAL PORTFOLIO", Database!$AG$29:$AG$44,Database!AS$29:AS$44)=0,"",_xlfn.XLOOKUP("TOTAL PORTFOLIO", Database!$AG$29:$AG$44,Database!AS$29:AS$44))</f>
        <v/>
      </c>
      <c r="Q10" s="285" t="str">
        <f>IF(_xlfn.XLOOKUP("TOTAL PORTFOLIO", Database!$AG$29:$AG$44,Database!AT$29:AT$44)=0,"",_xlfn.XLOOKUP("TOTAL PORTFOLIO", Database!$AG$29:$AG$44,Database!AT$29:AT$44))</f>
        <v/>
      </c>
      <c r="R10" s="279">
        <f>IF(_xlfn.XLOOKUP("TOTAL PORTFOLIO", Database!$AG$29:$AG$44,Database!AH$29:AH$44)=0,"",_xlfn.XLOOKUP("TOTAL PORTFOLIO", Database!$AG$29:$AG$44,Database!AH$29:AH$44))</f>
        <v>0.58899999999999997</v>
      </c>
      <c r="S10" s="162"/>
      <c r="T10" s="174">
        <v>61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117" t="s">
        <v>42</v>
      </c>
      <c r="D11" s="415" t="s">
        <v>51</v>
      </c>
      <c r="E11" s="166">
        <v>20.079999999999998</v>
      </c>
      <c r="F11" s="287">
        <f>IFERROR(SUMIFS(Database!$AE:$AE, Database!$X:$X,"*"&amp;$X$1&amp;"*", Database!$W:$W, MONTH(F$3)) / SUMIFS(Database!$AD:$AD, Database!$X:$X,"*"&amp;$X$1&amp;"*", Database!$W:$W, MONTH(F$3)), "")</f>
        <v>28.576828610735493</v>
      </c>
      <c r="G11" s="288" t="str">
        <f>IFERROR(SUMIFS(Database!$AE:$AE, Database!$X:$X,"*"&amp;$X$1&amp;"*", Database!$W:$W, MONTH(G$3)) / SUMIFS(Database!$AD:$AD, Database!$X:$X,"*"&amp;$X$1&amp;"*", Database!$W:$W, MONTH(G$3)), "")</f>
        <v/>
      </c>
      <c r="H11" s="286" t="str">
        <f>IFERROR(SUMIFS(Database!$AE:$AE, Database!$X:$X,"*"&amp;$X$1&amp;"*", Database!$W:$W, MONTH(H$3)) / SUMIFS(Database!$AD:$AD, Database!$X:$X,"*"&amp;$X$1&amp;"*", Database!$W:$W, MONTH(H$3)), "")</f>
        <v/>
      </c>
      <c r="I11" s="287" t="str">
        <f>IFERROR(SUMIFS(Database!$AE:$AE, Database!$X:$X,"*"&amp;$X$1&amp;"*", Database!$W:$W, MONTH(I$3)) / SUMIFS(Database!$AD:$AD, Database!$X:$X,"*"&amp;$X$1&amp;"*", Database!$W:$W, MONTH(I$3)), "")</f>
        <v/>
      </c>
      <c r="J11" s="288" t="str">
        <f>IFERROR(SUMIFS(Database!$AE:$AE, Database!$X:$X,"*"&amp;$X$1&amp;"*", Database!$W:$W, MONTH(J$3)) / SUMIFS(Database!$AD:$AD, Database!$X:$X,"*"&amp;$X$1&amp;"*", Database!$W:$W, MONTH(J$3)), "")</f>
        <v/>
      </c>
      <c r="K11" s="286" t="str">
        <f>IFERROR(SUMIFS(Database!$AE:$AE, Database!$X:$X,"*"&amp;$X$1&amp;"*", Database!$W:$W, MONTH(K$3)) / SUMIFS(Database!$AD:$AD, Database!$X:$X,"*"&amp;$X$1&amp;"*", Database!$W:$W, MONTH(K$3)), "")</f>
        <v/>
      </c>
      <c r="L11" s="287" t="str">
        <f>IFERROR(SUMIFS(Database!$AE:$AE, Database!$X:$X,"*"&amp;$X$1&amp;"*", Database!$W:$W, MONTH(L$3)) / SUMIFS(Database!$AD:$AD, Database!$X:$X,"*"&amp;$X$1&amp;"*", Database!$W:$W, MONTH(L$3)), "")</f>
        <v/>
      </c>
      <c r="M11" s="288" t="str">
        <f>IFERROR(SUMIFS(Database!$AE:$AE, Database!$X:$X,"*"&amp;$X$1&amp;"*", Database!$W:$W, MONTH(M$3)) / SUMIFS(Database!$AD:$AD, Database!$X:$X,"*"&amp;$X$1&amp;"*", Database!$W:$W, MONTH(M$3)), "")</f>
        <v/>
      </c>
      <c r="N11" s="286" t="str">
        <f>IFERROR(SUMIFS(Database!$AE:$AE, Database!$X:$X,"*"&amp;$X$1&amp;"*", Database!$W:$W, MONTH(N$3)) / SUMIFS(Database!$AD:$AD, Database!$X:$X,"*"&amp;$X$1&amp;"*", Database!$W:$W, MONTH(N$3)), "")</f>
        <v/>
      </c>
      <c r="O11" s="287" t="str">
        <f>IFERROR(SUMIFS(Database!$AE:$AE, Database!$X:$X,"*"&amp;$X$1&amp;"*", Database!$W:$W, MONTH(O$3)) / SUMIFS(Database!$AD:$AD, Database!$X:$X,"*"&amp;$X$1&amp;"*", Database!$W:$W, MONTH(O$3)), "")</f>
        <v/>
      </c>
      <c r="P11" s="289" t="str">
        <f>IFERROR(SUMIFS(Database!$AE:$AE, Database!$X:$X,"*"&amp;$X$1&amp;"*", Database!$W:$W, MONTH(P$3)) / SUMIFS(Database!$AD:$AD, Database!$X:$X,"*"&amp;$X$1&amp;"*", Database!$W:$W, MONTH(P$3)), "")</f>
        <v/>
      </c>
      <c r="Q11" s="290" t="str">
        <f>IFERROR(SUMIFS(Database!$AE:$AE, Database!$X:$X,"*"&amp;$X$1&amp;"*", Database!$W:$W, MONTH(Q$3)) / SUMIFS(Database!$AD:$AD, Database!$X:$X,"*"&amp;$X$1&amp;"*", Database!$W:$W, MONTH(Q$3)), "")</f>
        <v/>
      </c>
      <c r="R11" s="291">
        <f>IFERROR(SUMIFS(Database!$AE:$AE, Database!$X:$X,"*"&amp;$X$1&amp;"*") / SUMIFS(Database!$AD:$AD, Database!$X:$X,"*"&amp;$X$1&amp;"*"), "")</f>
        <v>28.576828610735493</v>
      </c>
      <c r="S11" s="195"/>
      <c r="T11" s="196">
        <v>25.93</v>
      </c>
      <c r="U11" s="196">
        <v>34.369999999999997</v>
      </c>
      <c r="V11" s="197">
        <v>49.16</v>
      </c>
      <c r="W11" s="138"/>
      <c r="X11" s="138"/>
    </row>
    <row r="12" spans="1:24" s="3" customFormat="1" ht="18" customHeight="1" thickBot="1">
      <c r="A12" s="120"/>
      <c r="B12" s="399"/>
      <c r="C12" s="353" t="s">
        <v>43</v>
      </c>
      <c r="D12" s="416"/>
      <c r="E12" s="359">
        <v>1.75</v>
      </c>
      <c r="F12" s="341">
        <f>IFERROR(SUMIFS(Database!$AC:$AC, Database!$X:$X,"*"&amp;$X$1&amp;"*", Database!$W:$W, MONTH(F$3)) / SUMIFS(Database!$AB:$AB, Database!$X:$X,"*"&amp;$X$1&amp;"*", Database!$W:$W, MONTH(F$3)), "")</f>
        <v>3.9019209146481826</v>
      </c>
      <c r="G12" s="342" t="str">
        <f>IFERROR(SUMIFS(Database!$AC:$AC, Database!$X:$X,"*"&amp;$X$1&amp;"*", Database!$W:$W, MONTH(G$3)) / SUMIFS(Database!$AB:$AB, Database!$X:$X,"*"&amp;$X$1&amp;"*", Database!$W:$W, MONTH(G$3)), "")</f>
        <v/>
      </c>
      <c r="H12" s="343" t="str">
        <f>IFERROR(SUMIFS(Database!$AC:$AC, Database!$X:$X,"*"&amp;$X$1&amp;"*", Database!$W:$W, MONTH(H$3)) / SUMIFS(Database!$AB:$AB, Database!$X:$X,"*"&amp;$X$1&amp;"*", Database!$W:$W, MONTH(H$3)), "")</f>
        <v/>
      </c>
      <c r="I12" s="341" t="str">
        <f>IFERROR(SUMIFS(Database!$AC:$AC, Database!$X:$X,"*"&amp;$X$1&amp;"*", Database!$W:$W, MONTH(I$3)) / SUMIFS(Database!$AB:$AB, Database!$X:$X,"*"&amp;$X$1&amp;"*", Database!$W:$W, MONTH(I$3)), "")</f>
        <v/>
      </c>
      <c r="J12" s="342" t="str">
        <f>IFERROR(SUMIFS(Database!$AC:$AC, Database!$X:$X,"*"&amp;$X$1&amp;"*", Database!$W:$W, MONTH(J$3)) / SUMIFS(Database!$AB:$AB, Database!$X:$X,"*"&amp;$X$1&amp;"*", Database!$W:$W, MONTH(J$3)), "")</f>
        <v/>
      </c>
      <c r="K12" s="343" t="str">
        <f>IFERROR(SUMIFS(Database!$AC:$AC, Database!$X:$X,"*"&amp;$X$1&amp;"*", Database!$W:$W, MONTH(K$3)) / SUMIFS(Database!$AB:$AB, Database!$X:$X,"*"&amp;$X$1&amp;"*", Database!$W:$W, MONTH(K$3)), "")</f>
        <v/>
      </c>
      <c r="L12" s="341" t="str">
        <f>IFERROR(SUMIFS(Database!$AC:$AC, Database!$X:$X,"*"&amp;$X$1&amp;"*", Database!$W:$W, MONTH(L$3)) / SUMIFS(Database!$AB:$AB, Database!$X:$X,"*"&amp;$X$1&amp;"*", Database!$W:$W, MONTH(L$3)), "")</f>
        <v/>
      </c>
      <c r="M12" s="342" t="str">
        <f>IFERROR(SUMIFS(Database!$AC:$AC, Database!$X:$X,"*"&amp;$X$1&amp;"*", Database!$W:$W, MONTH(M$3)) / SUMIFS(Database!$AB:$AB, Database!$X:$X,"*"&amp;$X$1&amp;"*", Database!$W:$W, MONTH(M$3)), "")</f>
        <v/>
      </c>
      <c r="N12" s="343" t="str">
        <f>IFERROR(SUMIFS(Database!$AC:$AC, Database!$X:$X,"*"&amp;$X$1&amp;"*", Database!$W:$W, MONTH(N$3)) / SUMIFS(Database!$AB:$AB, Database!$X:$X,"*"&amp;$X$1&amp;"*", Database!$W:$W, MONTH(N$3)), "")</f>
        <v/>
      </c>
      <c r="O12" s="341" t="str">
        <f>IFERROR(SUMIFS(Database!$AC:$AC, Database!$X:$X,"*"&amp;$X$1&amp;"*", Database!$W:$W, MONTH(O$3)) / SUMIFS(Database!$AB:$AB, Database!$X:$X,"*"&amp;$X$1&amp;"*", Database!$W:$W, MONTH(O$3)), "")</f>
        <v/>
      </c>
      <c r="P12" s="323" t="str">
        <f>IFERROR(SUMIFS(Database!$AC:$AC, Database!$X:$X,"*"&amp;$X$1&amp;"*", Database!$W:$W, MONTH(P$3)) / SUMIFS(Database!$AB:$AB, Database!$X:$X,"*"&amp;$X$1&amp;"*", Database!$W:$W, MONTH(P$3)), "")</f>
        <v/>
      </c>
      <c r="Q12" s="317" t="str">
        <f>IFERROR(SUMIFS(Database!$AC:$AC, Database!$X:$X,"*"&amp;$X$1&amp;"*", Database!$W:$W, MONTH(Q$3)) / SUMIFS(Database!$AB:$AB, Database!$X:$X,"*"&amp;$X$1&amp;"*", Database!$W:$W, MONTH(Q$3)), "")</f>
        <v/>
      </c>
      <c r="R12" s="344">
        <f>IFERROR(SUMIFS(Database!$AC:$AC, Database!$X:$X,"*"&amp;$X$1&amp;"*") / SUMIFS(Database!$AB:$AB, Database!$X:$X,"*"&amp;$X$1&amp;"*"), "")</f>
        <v>3.9019209146481826</v>
      </c>
      <c r="S12" s="222"/>
      <c r="T12" s="354">
        <v>1.94</v>
      </c>
      <c r="U12" s="354">
        <v>3.12</v>
      </c>
      <c r="V12" s="355">
        <v>4.93</v>
      </c>
      <c r="W12" s="138"/>
      <c r="X12" s="138"/>
    </row>
    <row r="13" spans="1:24" s="3" customFormat="1" ht="18" customHeight="1">
      <c r="A13" s="120"/>
      <c r="B13" s="384" t="s">
        <v>44</v>
      </c>
      <c r="C13" s="7" t="s">
        <v>45</v>
      </c>
      <c r="D13" s="388" t="s">
        <v>46</v>
      </c>
      <c r="E13" s="191">
        <v>0.8</v>
      </c>
      <c r="F13" s="307">
        <v>1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>
        <v>1</v>
      </c>
      <c r="S13" s="162"/>
      <c r="T13" s="149">
        <v>0.92</v>
      </c>
      <c r="U13" s="149">
        <v>0.73</v>
      </c>
      <c r="V13" s="149">
        <v>0.42</v>
      </c>
      <c r="W13" s="120"/>
      <c r="X13" s="120"/>
    </row>
    <row r="14" spans="1:24" s="3" customFormat="1" ht="18" customHeight="1">
      <c r="A14" s="120"/>
      <c r="B14" s="385"/>
      <c r="C14" s="7" t="s">
        <v>52</v>
      </c>
      <c r="D14" s="388"/>
      <c r="E14" s="191">
        <v>0.9</v>
      </c>
      <c r="F14" s="307">
        <v>0.16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>
        <v>0.16</v>
      </c>
      <c r="S14" s="176">
        <v>0.87</v>
      </c>
      <c r="T14" s="149">
        <v>0.87</v>
      </c>
      <c r="U14" s="174" t="s">
        <v>30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52">
        <v>1.2500000000000001E-2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>
        <v>1.2500000000000001E-2</v>
      </c>
      <c r="S15" s="181"/>
      <c r="T15" s="256">
        <v>0.05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8"/>
      <c r="X20" s="118"/>
    </row>
    <row r="21" spans="1:24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8"/>
      <c r="X21" s="118"/>
    </row>
    <row r="22" spans="1:24">
      <c r="A22" s="383"/>
      <c r="B22" s="383"/>
      <c r="C22" s="118"/>
      <c r="D22" s="118"/>
      <c r="E22" s="118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8"/>
      <c r="X22" s="118"/>
    </row>
    <row r="23" spans="1:24">
      <c r="A23" s="383"/>
      <c r="B23" s="383"/>
      <c r="C23" s="118"/>
      <c r="D23" s="11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8"/>
      <c r="X23" s="118"/>
    </row>
    <row r="25" spans="1:24">
      <c r="D25" s="18"/>
    </row>
    <row r="26" spans="1:24">
      <c r="D26" s="18"/>
      <c r="F26" s="94"/>
    </row>
    <row r="27" spans="1:24">
      <c r="D27" s="90"/>
    </row>
  </sheetData>
  <mergeCells count="18">
    <mergeCell ref="A22:B22"/>
    <mergeCell ref="A23:B23"/>
    <mergeCell ref="A17:B17"/>
    <mergeCell ref="A18:B18"/>
    <mergeCell ref="A19:B19"/>
    <mergeCell ref="A20:B20"/>
    <mergeCell ref="A21:B21"/>
    <mergeCell ref="A1:B1"/>
    <mergeCell ref="A16:B16"/>
    <mergeCell ref="B13:B15"/>
    <mergeCell ref="D13:D15"/>
    <mergeCell ref="B2:V2"/>
    <mergeCell ref="B5:B10"/>
    <mergeCell ref="D5:D6"/>
    <mergeCell ref="D7:D8"/>
    <mergeCell ref="D9:D10"/>
    <mergeCell ref="B11:B12"/>
    <mergeCell ref="D11:D12"/>
  </mergeCells>
  <phoneticPr fontId="19" type="noConversion"/>
  <conditionalFormatting sqref="F4:R4">
    <cfRule type="cellIs" dxfId="294" priority="9" stopIfTrue="1" operator="between">
      <formula>0.22</formula>
      <formula>0.32</formula>
    </cfRule>
    <cfRule type="cellIs" dxfId="293" priority="12" stopIfTrue="1" operator="notBetween">
      <formula>0.22</formula>
      <formula>0.32</formula>
    </cfRule>
  </conditionalFormatting>
  <conditionalFormatting sqref="F4:R15">
    <cfRule type="beginsWith" dxfId="292" priority="1" stopIfTrue="1" operator="beginsWith" text="NA">
      <formula>LEFT(F4,LEN("NA"))="NA"</formula>
    </cfRule>
    <cfRule type="containsBlanks" dxfId="291" priority="2" stopIfTrue="1">
      <formula>LEN(TRIM(F4))=0</formula>
    </cfRule>
  </conditionalFormatting>
  <conditionalFormatting sqref="F5:R10">
    <cfRule type="cellIs" dxfId="290" priority="10" stopIfTrue="1" operator="greaterThan">
      <formula>$E5</formula>
    </cfRule>
    <cfRule type="cellIs" dxfId="289" priority="11" stopIfTrue="1" operator="lessThan">
      <formula>$E5</formula>
    </cfRule>
  </conditionalFormatting>
  <conditionalFormatting sqref="F11:R12">
    <cfRule type="cellIs" dxfId="288" priority="7" stopIfTrue="1" operator="lessThan">
      <formula>$E11</formula>
    </cfRule>
    <cfRule type="cellIs" dxfId="287" priority="8" stopIfTrue="1" operator="greaterThan">
      <formula>$E11</formula>
    </cfRule>
  </conditionalFormatting>
  <conditionalFormatting sqref="F13:R14">
    <cfRule type="cellIs" dxfId="286" priority="5" stopIfTrue="1" operator="greaterThan">
      <formula>$E13</formula>
    </cfRule>
    <cfRule type="cellIs" dxfId="285" priority="6" stopIfTrue="1" operator="lessThan">
      <formula>$E13</formula>
    </cfRule>
  </conditionalFormatting>
  <conditionalFormatting sqref="F15:R15">
    <cfRule type="cellIs" dxfId="284" priority="3" stopIfTrue="1" operator="lessThan">
      <formula>$E$15</formula>
    </cfRule>
    <cfRule type="cellIs" dxfId="283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E5C3-D2A6-D944-9B40-6C58A2BC15F0}">
  <sheetPr codeName="Sheet4">
    <tabColor theme="8" tint="0.79998168889431442"/>
  </sheetPr>
  <dimension ref="A1:X27"/>
  <sheetViews>
    <sheetView showGridLines="0" zoomScale="81" zoomScaleNormal="115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8.6640625" customWidth="1"/>
    <col min="4" max="4" width="13.33203125" bestFit="1" customWidth="1"/>
    <col min="5" max="5" width="9" bestFit="1" customWidth="1"/>
    <col min="6" max="11" width="8.83203125" style="2" bestFit="1" customWidth="1"/>
    <col min="12" max="14" width="7.6640625" style="2" customWidth="1"/>
    <col min="15" max="15" width="9" style="2" bestFit="1" customWidth="1"/>
    <col min="16" max="17" width="8" style="2" bestFit="1" customWidth="1"/>
    <col min="18" max="18" width="8.6640625" style="2" bestFit="1" customWidth="1"/>
    <col min="19" max="20" width="8.6640625" style="2" customWidth="1"/>
    <col min="21" max="22" width="8" style="2" bestFit="1" customWidth="1"/>
  </cols>
  <sheetData>
    <row r="1" spans="1:24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73</v>
      </c>
    </row>
    <row r="2" spans="1:24" s="3" customFormat="1" ht="25.25" customHeight="1" thickBot="1">
      <c r="A2" s="120"/>
      <c r="B2" s="417" t="s">
        <v>76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Database!$M:$M, "*Beer*", Database!$L:$L, MONTH(F$3)) / SUMIFS(Database!$P:$P, Database!$M:$M, "*Beer*", Database!$L:$L, MONTH(F$3)), "")</f>
        <v>0.21396284807445864</v>
      </c>
      <c r="G4" s="258" t="str">
        <f>IFERROR(SUMIFS(Database!$O:$O, Database!$M:$M, "*Beer*", Database!$L:$L, MONTH(G$3)) / SUMIFS(Database!$P:$P, Database!$M:$M, "*Beer*", Database!$L:$L, MONTH(G$3)), "")</f>
        <v/>
      </c>
      <c r="H4" s="259" t="str">
        <f>IFERROR(SUMIFS(Database!$O:$O, Database!$M:$M, "*Beer*", Database!$L:$L, MONTH(H$3)) / SUMIFS(Database!$P:$P, Database!$M:$M, "*Beer*", Database!$L:$L, MONTH(H$3)), "")</f>
        <v/>
      </c>
      <c r="I4" s="257" t="str">
        <f>IFERROR(SUMIFS(Database!$O:$O, Database!$M:$M, "*Beer*", Database!$L:$L, MONTH(I$3)) / SUMIFS(Database!$P:$P, Database!$M:$M, "*Beer*", Database!$L:$L, MONTH(I$3)), "")</f>
        <v/>
      </c>
      <c r="J4" s="258" t="str">
        <f>IFERROR(SUMIFS(Database!$O:$O, Database!$M:$M, "*Beer*", Database!$L:$L, MONTH(J$3)) / SUMIFS(Database!$P:$P, Database!$M:$M, "*Beer*", Database!$L:$L, MONTH(J$3)), "")</f>
        <v/>
      </c>
      <c r="K4" s="259" t="str">
        <f>IFERROR(SUMIFS(Database!$O:$O, Database!$M:$M, "*Beer*", Database!$L:$L, MONTH(K$3)) / SUMIFS(Database!$P:$P, Database!$M:$M, "*Beer*", Database!$L:$L, MONTH(K$3)), "")</f>
        <v/>
      </c>
      <c r="L4" s="257" t="str">
        <f>IFERROR(SUMIFS(Database!$O:$O, Database!$M:$M, "*Beer*", Database!$L:$L, MONTH(L$3)) / SUMIFS(Database!$P:$P, Database!$M:$M, "*Beer*", Database!$L:$L, MONTH(L$3)), "")</f>
        <v/>
      </c>
      <c r="M4" s="258" t="str">
        <f>IFERROR(SUMIFS(Database!$O:$O, Database!$M:$M, "*Beer*", Database!$L:$L, MONTH(M$3)) / SUMIFS(Database!$P:$P, Database!$M:$M, "*Beer*", Database!$L:$L, MONTH(M$3)), "")</f>
        <v/>
      </c>
      <c r="N4" s="259" t="str">
        <f>IFERROR(SUMIFS(Database!$O:$O, Database!$M:$M, "*Beer*", Database!$L:$L, MONTH(N$3)) / SUMIFS(Database!$P:$P, Database!$M:$M, "*Beer*", Database!$L:$L, MONTH(N$3)), "")</f>
        <v/>
      </c>
      <c r="O4" s="260" t="str">
        <f>IFERROR(SUMIFS(Database!$O:$O, Database!$M:$M, "*Beer*", Database!$L:$L, MONTH(O$3)) / SUMIFS(Database!$P:$P, Database!$M:$M, "*Beer*", Database!$L:$L, MONTH(O$3)), "")</f>
        <v/>
      </c>
      <c r="P4" s="258" t="str">
        <f>IFERROR(SUMIFS(Database!$O:$O, Database!$M:$M, "*Beer*", Database!$L:$L, MONTH(P$3)) / SUMIFS(Database!$P:$P, Database!$M:$M, "*Beer*", Database!$L:$L, MONTH(P$3)), "")</f>
        <v/>
      </c>
      <c r="Q4" s="259" t="str">
        <f>IFERROR(SUMIFS(Database!$O:$O, Database!$M:$M, "*Beer*", Database!$L:$L, MONTH(Q$3)) / SUMIFS(Database!$P:$P, Database!$M:$M, "*Beer*", Database!$L:$L, MONTH(Q$3)), "")</f>
        <v/>
      </c>
      <c r="R4" s="259">
        <f>IFERROR(SUMIFS(Database!$O:$O, Database!$M:$M, "*Beer*") / SUMIFS(Database!$P:$P, Database!$M:$M, "*Beer*"), "")</f>
        <v>0.21396284807445864</v>
      </c>
      <c r="S4" s="136" t="s">
        <v>30</v>
      </c>
      <c r="T4" s="137">
        <v>0.27</v>
      </c>
      <c r="U4" s="137">
        <v>0.25</v>
      </c>
      <c r="V4" s="137">
        <v>0.25</v>
      </c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142">
        <v>1</v>
      </c>
      <c r="T5" s="175">
        <v>1</v>
      </c>
      <c r="U5" s="175">
        <v>0.56000000000000005</v>
      </c>
      <c r="V5" s="190" t="s">
        <v>33</v>
      </c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Database!$C:$C, "*Beer*", Database!$D:$D, MONTH(F$3)) / SUMIFS(Database!$G:$G, Database!$C:$C, "*Beer*", Database!$D:$D, MONTH(F$3)), "")</f>
        <v>0.95684969167064104</v>
      </c>
      <c r="G6" s="265" t="str">
        <f>IFERROR(SUMIFS(Database!$H:$H, Database!$C:$C, "*Beer*", Database!$D:$D, MONTH(G$3)) / SUMIFS(Database!$G:$G, Database!$C:$C, "*Beer*", Database!$D:$D, MONTH(G$3)), "")</f>
        <v/>
      </c>
      <c r="H6" s="266" t="str">
        <f>IFERROR(SUMIFS(Database!$H:$H, Database!$C:$C, "*Beer*", Database!$D:$D, MONTH(H$3)) / SUMIFS(Database!$G:$G, Database!$C:$C, "*Beer*", Database!$D:$D, MONTH(H$3)), "")</f>
        <v/>
      </c>
      <c r="I6" s="265" t="str">
        <f>IFERROR(SUMIFS(Database!$H:$H, Database!$C:$C, "*Beer*", Database!$D:$D, MONTH(I$3)) / SUMIFS(Database!$G:$G, Database!$C:$C, "*Beer*", Database!$D:$D, MONTH(I$3)), "")</f>
        <v/>
      </c>
      <c r="J6" s="265" t="str">
        <f>IFERROR(SUMIFS(Database!$H:$H, Database!$C:$C, "*Beer*", Database!$D:$D, MONTH(J$3)) / SUMIFS(Database!$G:$G, Database!$C:$C, "*Beer*", Database!$D:$D, MONTH(J$3)), "")</f>
        <v/>
      </c>
      <c r="K6" s="277" t="str">
        <f>IFERROR(SUMIFS(Database!$H:$H, Database!$C:$C, "*Beer*", Database!$D:$D, MONTH(K$3)) / SUMIFS(Database!$G:$G, Database!$C:$C, "*Beer*", Database!$D:$D, MONTH(K$3)), "")</f>
        <v/>
      </c>
      <c r="L6" s="265" t="str">
        <f>IFERROR(SUMIFS(Database!$H:$H, Database!$C:$C, "*Beer*", Database!$D:$D, MONTH(L$3)) / SUMIFS(Database!$G:$G, Database!$C:$C, "*Beer*", Database!$D:$D, MONTH(L$3)), "")</f>
        <v/>
      </c>
      <c r="M6" s="265" t="str">
        <f>IFERROR(SUMIFS(Database!$H:$H, Database!$C:$C, "*Beer*", Database!$D:$D, MONTH(M$3)) / SUMIFS(Database!$G:$G, Database!$C:$C, "*Beer*", Database!$D:$D, MONTH(M$3)), "")</f>
        <v/>
      </c>
      <c r="N6" s="277" t="str">
        <f>IFERROR(SUMIFS(Database!$H:$H, Database!$C:$C, "*Beer*", Database!$D:$D, MONTH(N$3)) / SUMIFS(Database!$G:$G, Database!$C:$C, "*Beer*", Database!$D:$D, MONTH(N$3)), "")</f>
        <v/>
      </c>
      <c r="O6" s="265" t="str">
        <f>IFERROR(SUMIFS(Database!$H:$H, Database!$C:$C, "*Beer*", Database!$D:$D, MONTH(O$3)) / SUMIFS(Database!$G:$G, Database!$C:$C, "*Beer*", Database!$D:$D, MONTH(O$3)), "")</f>
        <v/>
      </c>
      <c r="P6" s="265" t="str">
        <f>IFERROR(SUMIFS(Database!$H:$H, Database!$C:$C, "*Beer*", Database!$D:$D, MONTH(P$3)) / SUMIFS(Database!$G:$G, Database!$C:$C, "*Beer*", Database!$D:$D, MONTH(P$3)), "")</f>
        <v/>
      </c>
      <c r="Q6" s="277" t="str">
        <f>IFERROR(SUMIFS(Database!$H:$H, Database!$C:$C, "*Beer*", Database!$D:$D, MONTH(Q$3)) / SUMIFS(Database!$G:$G, Database!$C:$C, "*Beer*", Database!$D:$D, MONTH(Q$3)), "")</f>
        <v/>
      </c>
      <c r="R6" s="266">
        <f>IFERROR(SUMIFS(Database!$H:$H, Database!$C:$C, "*Beer*") / SUMIFS(Database!$G:$G, Database!$C:$C, "*Beer*"), "")</f>
        <v>0.95684969167064104</v>
      </c>
      <c r="S6" s="148" t="s">
        <v>30</v>
      </c>
      <c r="T6" s="149">
        <v>0.81</v>
      </c>
      <c r="U6" s="149">
        <v>0.74</v>
      </c>
      <c r="V6" s="149">
        <v>0.69</v>
      </c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270"/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72"/>
      <c r="S7" s="154" t="s">
        <v>30</v>
      </c>
      <c r="T7" s="155" t="s">
        <v>30</v>
      </c>
      <c r="U7" s="155" t="s">
        <v>30</v>
      </c>
      <c r="V7" s="155" t="s">
        <v>30</v>
      </c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0.86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0.86</v>
      </c>
      <c r="S8" s="148" t="s">
        <v>30</v>
      </c>
      <c r="T8" s="158">
        <v>0.71</v>
      </c>
      <c r="U8" s="158">
        <v>0.54</v>
      </c>
      <c r="V8" s="158">
        <v>0.56000000000000005</v>
      </c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IF(_xlfn.XLOOKUP("TOTAL BEER", Database!$AG$4:$AG$19, Database!AI$4:AI$19)=0,"",_xlfn.XLOOKUP("TOTAL BEER", Database!$AG$4:$AG$19, Database!AI$4:AI$19))</f>
        <v>0.25800000000000001</v>
      </c>
      <c r="G9" s="268" t="str">
        <f>IF(_xlfn.XLOOKUP("TOTAL PORTFOLIO", Database!$AG$4:$AG$19, Database!AJ$4:AJ$19)=0,"",_xlfn.XLOOKUP("TOTAL PORTFOLIO", Database!$AG$4:$AG$19, Database!AJ$4:AJ$19))</f>
        <v/>
      </c>
      <c r="H9" s="279" t="str">
        <f>IF(_xlfn.XLOOKUP("TOTAL PORTFOLIO", Database!$AG$4:$AG$19, Database!AK$4:AK$19)=0,"",_xlfn.XLOOKUP("TOTAL PORTFOLIO", Database!$AG$4:$AG$19, Database!AK$4:AK$19))</f>
        <v/>
      </c>
      <c r="I9" s="267" t="str">
        <f>IF(_xlfn.XLOOKUP("TOTAL PORTFOLIO", Database!$AG$4:$AG$19, Database!AL$4:AL$19)=0,"",_xlfn.XLOOKUP("TOTAL PORTFOLIO", Database!$AG$4:$AG$19, Database!AL$4:AL$19))</f>
        <v/>
      </c>
      <c r="J9" s="268" t="str">
        <f>IF(_xlfn.XLOOKUP("TOTAL PORTFOLIO", Database!$AG$4:$AG$19, Database!AM$4:AM$19)=0,"",_xlfn.XLOOKUP("TOTAL PORTFOLIO", Database!$AG$4:$AG$19, Database!AM$4:AM$19))</f>
        <v/>
      </c>
      <c r="K9" s="280" t="str">
        <f>IF(_xlfn.XLOOKUP("TOTAL PORTFOLIO", Database!$AG$4:$AG$19, Database!AN$4:AN$19)=0,"",_xlfn.XLOOKUP("TOTAL PORTFOLIO", Database!$AG$4:$AG$19, Database!AN$4:AN$19))</f>
        <v/>
      </c>
      <c r="L9" s="267" t="str">
        <f>IF(_xlfn.XLOOKUP("TOTAL PORTFOLIO", Database!$AG$4:$AG$19, Database!AO$4:AO$19)=0,"",_xlfn.XLOOKUP("TOTAL PORTFOLIO", Database!$AG$4:$AG$19, Database!AO$4:AO$19))</f>
        <v/>
      </c>
      <c r="M9" s="268" t="str">
        <f>IF(_xlfn.XLOOKUP("TOTAL PORTFOLIO", Database!$AG$4:$AG$19, Database!AP$4:AP$19)=0,"",_xlfn.XLOOKUP("TOTAL PORTFOLIO", Database!$AG$4:$AG$19, Database!AP$4:AP$19))</f>
        <v/>
      </c>
      <c r="N9" s="281" t="str">
        <f>IF(_xlfn.XLOOKUP("TOTAL PORTFOLIO", Database!$AG$4:$AG$19, Database!AQ$4:AQ$19)=0,"",_xlfn.XLOOKUP("TOTAL PORTFOLIO", Database!$AG$4:$AG$19, Database!AQ$4:AQ$19))</f>
        <v/>
      </c>
      <c r="O9" s="267" t="str">
        <f>IF(_xlfn.XLOOKUP("TOTAL PORTFOLIO", Database!$AG$4:$AG$19, Database!AR$4:AR$19)=0,"",_xlfn.XLOOKUP("TOTAL PORTFOLIO", Database!$AG$4:$AG$19, Database!AR$4:AR$19))</f>
        <v/>
      </c>
      <c r="P9" s="268" t="str">
        <f>IF(_xlfn.XLOOKUP("TOTAL PORTFOLIO", Database!$AG$4:$AG$19, Database!AS$4:AS$19)=0,"",_xlfn.XLOOKUP("TOTAL PORTFOLIO", Database!$AG$4:$AG$19, Database!AS$4:AS$19))</f>
        <v/>
      </c>
      <c r="Q9" s="281" t="str">
        <f>IF(_xlfn.XLOOKUP("TOTAL PORTFOLIO", Database!$AG$4:$AG$19, Database!AT$4:AT$19)=0,"",_xlfn.XLOOKUP("TOTAL PORTFOLIO", Database!$AG$4:$AG$19, Database!AT$4:AT$19))</f>
        <v/>
      </c>
      <c r="R9" s="279">
        <f>IF(_xlfn.XLOOKUP("TOTAL PORTFOLIO", Database!$AG$4:$AG$19, Database!AH$4:AH$19)=0,"",_xlfn.XLOOKUP("TOTAL PORTFOLIO", Database!$AG$4:$AG$19, Database!AH$4:AH$19))</f>
        <v>0.26200000000000001</v>
      </c>
      <c r="S9" s="162" t="s">
        <v>30</v>
      </c>
      <c r="T9" s="149">
        <v>0.34</v>
      </c>
      <c r="U9" s="149">
        <v>0.32</v>
      </c>
      <c r="V9" s="149">
        <v>0.27</v>
      </c>
    </row>
    <row r="10" spans="1:24" s="3" customFormat="1" ht="18" customHeight="1" thickBot="1">
      <c r="A10" s="120"/>
      <c r="B10" s="394"/>
      <c r="C10" s="97" t="s">
        <v>40</v>
      </c>
      <c r="D10" s="389"/>
      <c r="E10" s="163">
        <v>0.45</v>
      </c>
      <c r="F10" s="267">
        <f>IF(_xlfn.XLOOKUP("TOTAL BEER", Database!$AG$29:$AG$44,Database!AI$29:AI$44)=0,"",_xlfn.XLOOKUP("TOTAL BEER", Database!$AG$29:$AG$44,Database!AI$29:AI$44))</f>
        <v>0.58199999999999996</v>
      </c>
      <c r="G10" s="268" t="str">
        <f>IF(_xlfn.XLOOKUP("TOTAL PORTFOLIO", Database!$AG$29:$AG$44,Database!AJ$29:AJ$44)=0,"",_xlfn.XLOOKUP("TOTAL PORTFOLIO", Database!$AG$29:$AG$44,Database!AJ$29:AJ$44))</f>
        <v/>
      </c>
      <c r="H10" s="279" t="str">
        <f>IF(_xlfn.XLOOKUP("TOTAL PORTFOLIO", Database!$AG$29:$AG$44,Database!AK$29:AK$44)=0,"",_xlfn.XLOOKUP("TOTAL PORTFOLIO", Database!$AG$29:$AG$44,Database!AK$29:AK$44))</f>
        <v/>
      </c>
      <c r="I10" s="267" t="str">
        <f>IF(_xlfn.XLOOKUP("TOTAL PORTFOLIO", Database!$AG$29:$AG$44,Database!AL$29:AL$44)=0,"",_xlfn.XLOOKUP("TOTAL PORTFOLIO", Database!$AG$29:$AG$44,Database!AL$29:AL$44))</f>
        <v/>
      </c>
      <c r="J10" s="268" t="str">
        <f>IF(_xlfn.XLOOKUP("TOTAL PORTFOLIO", Database!$AG$29:$AG$44,Database!AM$29:AM$44)=0,"",_xlfn.XLOOKUP("TOTAL PORTFOLIO", Database!$AG$29:$AG$44,Database!AM$29:AM$44))</f>
        <v/>
      </c>
      <c r="K10" s="280" t="str">
        <f>IF(_xlfn.XLOOKUP("TOTAL PORTFOLIO", Database!$AG$29:$AG$44,Database!AN$29:AN$44)=0,"",_xlfn.XLOOKUP("TOTAL PORTFOLIO", Database!$AG$29:$AG$44,Database!AN$29:AN$44))</f>
        <v/>
      </c>
      <c r="L10" s="283" t="str">
        <f>IF(_xlfn.XLOOKUP("TOTAL PORTFOLIO", Database!$AG$29:$AG$44,Database!AO$29:AO$44)=0,"",_xlfn.XLOOKUP("TOTAL PORTFOLIO", Database!$AG$29:$AG$44,Database!AO$29:AO$44))</f>
        <v/>
      </c>
      <c r="M10" s="284" t="str">
        <f>IF(_xlfn.XLOOKUP("TOTAL PORTFOLIO", Database!$AG$29:$AG$44,Database!AP$29:AP$44)=0,"",_xlfn.XLOOKUP("TOTAL PORTFOLIO", Database!$AG$29:$AG$44,Database!AP$29:AP$44))</f>
        <v/>
      </c>
      <c r="N10" s="285" t="str">
        <f>IF(_xlfn.XLOOKUP("TOTAL PORTFOLIO", Database!$AG$29:$AG$44,Database!AQ$29:AQ$44)=0,"",_xlfn.XLOOKUP("TOTAL PORTFOLIO", Database!$AG$29:$AG$44,Database!AQ$29:AQ$44))</f>
        <v/>
      </c>
      <c r="O10" s="283" t="str">
        <f>IF(_xlfn.XLOOKUP("TOTAL PORTFOLIO", Database!$AG$29:$AG$44,Database!AR$29:AR$44)=0,"",_xlfn.XLOOKUP("TOTAL PORTFOLIO", Database!$AG$29:$AG$44,Database!AR$29:AR$44))</f>
        <v/>
      </c>
      <c r="P10" s="284" t="str">
        <f>IF(_xlfn.XLOOKUP("TOTAL PORTFOLIO", Database!$AG$29:$AG$44,Database!AS$29:AS$44)=0,"",_xlfn.XLOOKUP("TOTAL PORTFOLIO", Database!$AG$29:$AG$44,Database!AS$29:AS$44))</f>
        <v/>
      </c>
      <c r="Q10" s="285" t="str">
        <f>IF(_xlfn.XLOOKUP("TOTAL PORTFOLIO", Database!$AG$29:$AG$44,Database!AT$29:AT$44)=0,"",_xlfn.XLOOKUP("TOTAL PORTFOLIO", Database!$AG$29:$AG$44,Database!AT$29:AT$44))</f>
        <v/>
      </c>
      <c r="R10" s="279">
        <f>IF(_xlfn.XLOOKUP("TOTAL PORTFOLIO", Database!$AG$29:$AG$44,Database!AH$29:AH$44)=0,"",_xlfn.XLOOKUP("TOTAL PORTFOLIO", Database!$AG$29:$AG$44,Database!AH$29:AH$44))</f>
        <v>0.58899999999999997</v>
      </c>
      <c r="S10" s="162" t="s">
        <v>30</v>
      </c>
      <c r="T10" s="149">
        <v>0.61</v>
      </c>
      <c r="U10" s="174" t="s">
        <v>30</v>
      </c>
      <c r="V10" s="174" t="s">
        <v>30</v>
      </c>
    </row>
    <row r="11" spans="1:24" s="3" customFormat="1" ht="18" customHeight="1">
      <c r="A11" s="120"/>
      <c r="B11" s="398" t="s">
        <v>50</v>
      </c>
      <c r="C11" s="117" t="s">
        <v>42</v>
      </c>
      <c r="D11" s="420" t="s">
        <v>51</v>
      </c>
      <c r="E11" s="166">
        <v>20.079999999999998</v>
      </c>
      <c r="F11" s="287">
        <f>IFERROR(SUMIFS(Database!$AE:$AE, Database!$X:$X,"*"&amp;$X$1&amp;"*", Database!$W:$W, MONTH(F$3)) / SUMIFS(Database!$AD:$AD, Database!$X:$X,"*"&amp;$X$1&amp;"*", Database!$W:$W, MONTH(F$3)), "")</f>
        <v>29.564220050993306</v>
      </c>
      <c r="G11" s="288" t="str">
        <f>IFERROR(SUMIFS(Database!$AE:$AE, Database!$X:$X,"*"&amp;$X$1&amp;"*", Database!$W:$W, MONTH(G$3)) / SUMIFS(Database!$AD:$AD, Database!$X:$X,"*"&amp;$X$1&amp;"*", Database!$W:$W, MONTH(G$3)), "")</f>
        <v/>
      </c>
      <c r="H11" s="286" t="str">
        <f>IFERROR(SUMIFS(Database!$AE:$AE, Database!$X:$X,"*"&amp;$X$1&amp;"*", Database!$W:$W, MONTH(H$3)) / SUMIFS(Database!$AD:$AD, Database!$X:$X,"*"&amp;$X$1&amp;"*", Database!$W:$W, MONTH(H$3)), "")</f>
        <v/>
      </c>
      <c r="I11" s="287" t="str">
        <f>IFERROR(SUMIFS(Database!$AE:$AE, Database!$X:$X,"*"&amp;$X$1&amp;"*", Database!$W:$W, MONTH(I$3)) / SUMIFS(Database!$AD:$AD, Database!$X:$X,"*"&amp;$X$1&amp;"*", Database!$W:$W, MONTH(I$3)), "")</f>
        <v/>
      </c>
      <c r="J11" s="288" t="str">
        <f>IFERROR(SUMIFS(Database!$AE:$AE, Database!$X:$X,"*"&amp;$X$1&amp;"*", Database!$W:$W, MONTH(J$3)) / SUMIFS(Database!$AD:$AD, Database!$X:$X,"*"&amp;$X$1&amp;"*", Database!$W:$W, MONTH(J$3)), "")</f>
        <v/>
      </c>
      <c r="K11" s="286" t="str">
        <f>IFERROR(SUMIFS(Database!$AE:$AE, Database!$X:$X,"*"&amp;$X$1&amp;"*", Database!$W:$W, MONTH(K$3)) / SUMIFS(Database!$AD:$AD, Database!$X:$X,"*"&amp;$X$1&amp;"*", Database!$W:$W, MONTH(K$3)), "")</f>
        <v/>
      </c>
      <c r="L11" s="287" t="str">
        <f>IFERROR(SUMIFS(Database!$AE:$AE, Database!$X:$X,"*"&amp;$X$1&amp;"*", Database!$W:$W, MONTH(L$3)) / SUMIFS(Database!$AD:$AD, Database!$X:$X,"*"&amp;$X$1&amp;"*", Database!$W:$W, MONTH(L$3)), "")</f>
        <v/>
      </c>
      <c r="M11" s="288" t="str">
        <f>IFERROR(SUMIFS(Database!$AE:$AE, Database!$X:$X,"*"&amp;$X$1&amp;"*", Database!$W:$W, MONTH(M$3)) / SUMIFS(Database!$AD:$AD, Database!$X:$X,"*"&amp;$X$1&amp;"*", Database!$W:$W, MONTH(M$3)), "")</f>
        <v/>
      </c>
      <c r="N11" s="286" t="str">
        <f>IFERROR(SUMIFS(Database!$AE:$AE, Database!$X:$X,"*"&amp;$X$1&amp;"*", Database!$W:$W, MONTH(N$3)) / SUMIFS(Database!$AD:$AD, Database!$X:$X,"*"&amp;$X$1&amp;"*", Database!$W:$W, MONTH(N$3)), "")</f>
        <v/>
      </c>
      <c r="O11" s="287" t="str">
        <f>IFERROR(SUMIFS(Database!$AE:$AE, Database!$X:$X,"*"&amp;$X$1&amp;"*", Database!$W:$W, MONTH(O$3)) / SUMIFS(Database!$AD:$AD, Database!$X:$X,"*"&amp;$X$1&amp;"*", Database!$W:$W, MONTH(O$3)), "")</f>
        <v/>
      </c>
      <c r="P11" s="289" t="str">
        <f>IFERROR(SUMIFS(Database!$AE:$AE, Database!$X:$X,"*"&amp;$X$1&amp;"*", Database!$W:$W, MONTH(P$3)) / SUMIFS(Database!$AD:$AD, Database!$X:$X,"*"&amp;$X$1&amp;"*", Database!$W:$W, MONTH(P$3)), "")</f>
        <v/>
      </c>
      <c r="Q11" s="290" t="str">
        <f>IFERROR(SUMIFS(Database!$AE:$AE, Database!$X:$X,"*"&amp;$X$1&amp;"*", Database!$W:$W, MONTH(Q$3)) / SUMIFS(Database!$AD:$AD, Database!$X:$X,"*"&amp;$X$1&amp;"*", Database!$W:$W, MONTH(Q$3)), "")</f>
        <v/>
      </c>
      <c r="R11" s="291">
        <f>IFERROR(SUMIFS(Database!$AE:$AE, Database!$X:$X,"*"&amp;$X$1&amp;"*") / SUMIFS(Database!$AD:$AD, Database!$X:$X,"*"&amp;$X$1&amp;"*"), "")</f>
        <v>29.564220050993306</v>
      </c>
      <c r="S11" s="195" t="s">
        <v>30</v>
      </c>
      <c r="T11" s="196">
        <v>25.89</v>
      </c>
      <c r="U11" s="196">
        <v>34.369999999999997</v>
      </c>
      <c r="V11" s="197">
        <v>49.16</v>
      </c>
    </row>
    <row r="12" spans="1:24" s="3" customFormat="1" ht="18" customHeight="1" thickBot="1">
      <c r="A12" s="120"/>
      <c r="B12" s="399"/>
      <c r="C12" s="356" t="s">
        <v>43</v>
      </c>
      <c r="D12" s="416"/>
      <c r="E12" s="357">
        <v>1.75</v>
      </c>
      <c r="F12" s="341">
        <f>IFERROR(SUMIFS(Database!$AC:$AC, Database!$X:$X,"*"&amp;$X$1&amp;"*", Database!$W:$W, MONTH(F$3)) / SUMIFS(Database!$AB:$AB, Database!$X:$X,"*"&amp;$X$1&amp;"*", Database!$W:$W, MONTH(F$3)), "")</f>
        <v>4.468793090721193</v>
      </c>
      <c r="G12" s="342" t="str">
        <f>IFERROR(SUMIFS(Database!$AC:$AC, Database!$X:$X,"*"&amp;$X$1&amp;"*", Database!$W:$W, MONTH(G$3)) / SUMIFS(Database!$AB:$AB, Database!$X:$X,"*"&amp;$X$1&amp;"*", Database!$W:$W, MONTH(G$3)), "")</f>
        <v/>
      </c>
      <c r="H12" s="343" t="str">
        <f>IFERROR(SUMIFS(Database!$AC:$AC, Database!$X:$X,"*"&amp;$X$1&amp;"*", Database!$W:$W, MONTH(H$3)) / SUMIFS(Database!$AB:$AB, Database!$X:$X,"*"&amp;$X$1&amp;"*", Database!$W:$W, MONTH(H$3)), "")</f>
        <v/>
      </c>
      <c r="I12" s="341" t="str">
        <f>IFERROR(SUMIFS(Database!$AC:$AC, Database!$X:$X,"*"&amp;$X$1&amp;"*", Database!$W:$W, MONTH(I$3)) / SUMIFS(Database!$AB:$AB, Database!$X:$X,"*"&amp;$X$1&amp;"*", Database!$W:$W, MONTH(I$3)), "")</f>
        <v/>
      </c>
      <c r="J12" s="342" t="str">
        <f>IFERROR(SUMIFS(Database!$AC:$AC, Database!$X:$X,"*"&amp;$X$1&amp;"*", Database!$W:$W, MONTH(J$3)) / SUMIFS(Database!$AB:$AB, Database!$X:$X,"*"&amp;$X$1&amp;"*", Database!$W:$W, MONTH(J$3)), "")</f>
        <v/>
      </c>
      <c r="K12" s="343" t="str">
        <f>IFERROR(SUMIFS(Database!$AC:$AC, Database!$X:$X,"*"&amp;$X$1&amp;"*", Database!$W:$W, MONTH(K$3)) / SUMIFS(Database!$AB:$AB, Database!$X:$X,"*"&amp;$X$1&amp;"*", Database!$W:$W, MONTH(K$3)), "")</f>
        <v/>
      </c>
      <c r="L12" s="341" t="str">
        <f>IFERROR(SUMIFS(Database!$AC:$AC, Database!$X:$X,"*"&amp;$X$1&amp;"*", Database!$W:$W, MONTH(L$3)) / SUMIFS(Database!$AB:$AB, Database!$X:$X,"*"&amp;$X$1&amp;"*", Database!$W:$W, MONTH(L$3)), "")</f>
        <v/>
      </c>
      <c r="M12" s="342" t="str">
        <f>IFERROR(SUMIFS(Database!$AC:$AC, Database!$X:$X,"*"&amp;$X$1&amp;"*", Database!$W:$W, MONTH(M$3)) / SUMIFS(Database!$AB:$AB, Database!$X:$X,"*"&amp;$X$1&amp;"*", Database!$W:$W, MONTH(M$3)), "")</f>
        <v/>
      </c>
      <c r="N12" s="343" t="str">
        <f>IFERROR(SUMIFS(Database!$AC:$AC, Database!$X:$X,"*"&amp;$X$1&amp;"*", Database!$W:$W, MONTH(N$3)) / SUMIFS(Database!$AB:$AB, Database!$X:$X,"*"&amp;$X$1&amp;"*", Database!$W:$W, MONTH(N$3)), "")</f>
        <v/>
      </c>
      <c r="O12" s="341" t="str">
        <f>IFERROR(SUMIFS(Database!$AC:$AC, Database!$X:$X,"*"&amp;$X$1&amp;"*", Database!$W:$W, MONTH(O$3)) / SUMIFS(Database!$AB:$AB, Database!$X:$X,"*"&amp;$X$1&amp;"*", Database!$W:$W, MONTH(O$3)), "")</f>
        <v/>
      </c>
      <c r="P12" s="323" t="str">
        <f>IFERROR(SUMIFS(Database!$AC:$AC, Database!$X:$X,"*"&amp;$X$1&amp;"*", Database!$W:$W, MONTH(P$3)) / SUMIFS(Database!$AB:$AB, Database!$X:$X,"*"&amp;$X$1&amp;"*", Database!$W:$W, MONTH(P$3)), "")</f>
        <v/>
      </c>
      <c r="Q12" s="317" t="str">
        <f>IFERROR(SUMIFS(Database!$AC:$AC, Database!$X:$X,"*"&amp;$X$1&amp;"*", Database!$W:$W, MONTH(Q$3)) / SUMIFS(Database!$AB:$AB, Database!$X:$X,"*"&amp;$X$1&amp;"*", Database!$W:$W, MONTH(Q$3)), "")</f>
        <v/>
      </c>
      <c r="R12" s="344">
        <f>IFERROR(SUMIFS(Database!$AC:$AC, Database!$X:$X,"*"&amp;$X$1&amp;"*") / SUMIFS(Database!$AB:$AB, Database!$X:$X,"*"&amp;$X$1&amp;"*"), "")</f>
        <v>4.468793090721193</v>
      </c>
      <c r="S12" s="222" t="s">
        <v>30</v>
      </c>
      <c r="T12" s="354">
        <v>1.94</v>
      </c>
      <c r="U12" s="354">
        <v>3.12</v>
      </c>
      <c r="V12" s="355">
        <v>4.93</v>
      </c>
    </row>
    <row r="13" spans="1:24" s="3" customFormat="1" ht="18" customHeight="1">
      <c r="A13" s="120"/>
      <c r="B13" s="385" t="s">
        <v>44</v>
      </c>
      <c r="C13" s="7" t="s">
        <v>45</v>
      </c>
      <c r="D13" s="388" t="s">
        <v>46</v>
      </c>
      <c r="E13" s="191">
        <v>0.8</v>
      </c>
      <c r="F13" s="307">
        <v>1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>
        <v>1</v>
      </c>
      <c r="S13" s="162" t="s">
        <v>30</v>
      </c>
      <c r="T13" s="149">
        <v>0.93</v>
      </c>
      <c r="U13" s="149">
        <v>0.77</v>
      </c>
      <c r="V13" s="149">
        <v>0.39</v>
      </c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>
        <v>0.13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>
        <v>0.13</v>
      </c>
      <c r="S14" s="176">
        <v>0.92</v>
      </c>
      <c r="T14" s="149">
        <v>0.92</v>
      </c>
      <c r="U14" s="149">
        <v>0.27</v>
      </c>
      <c r="V14" s="174" t="s">
        <v>30</v>
      </c>
    </row>
    <row r="15" spans="1:24" s="3" customFormat="1" ht="18" customHeight="1" thickBot="1">
      <c r="A15" s="120"/>
      <c r="B15" s="419"/>
      <c r="C15" s="1" t="s">
        <v>48</v>
      </c>
      <c r="D15" s="389"/>
      <c r="E15" s="203">
        <v>0.05</v>
      </c>
      <c r="F15" s="352">
        <v>3.2000000000000002E-3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>
        <v>3.2000000000000002E-3</v>
      </c>
      <c r="S15" s="181" t="s">
        <v>30</v>
      </c>
      <c r="T15" s="256">
        <v>0.05</v>
      </c>
      <c r="U15" s="165" t="s">
        <v>30</v>
      </c>
      <c r="V15" s="165" t="s">
        <v>30</v>
      </c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spans="1:22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 spans="1:22">
      <c r="F20" s="89"/>
      <c r="G20" s="89"/>
      <c r="H20" s="89"/>
    </row>
    <row r="23" spans="1:22">
      <c r="G23" s="91"/>
    </row>
    <row r="25" spans="1:22">
      <c r="D25" s="18"/>
    </row>
    <row r="26" spans="1:22">
      <c r="D26" s="18"/>
      <c r="F26" s="94"/>
    </row>
    <row r="27" spans="1:22">
      <c r="D27" s="90"/>
    </row>
  </sheetData>
  <mergeCells count="14">
    <mergeCell ref="A17:B17"/>
    <mergeCell ref="A18:B18"/>
    <mergeCell ref="A19:B19"/>
    <mergeCell ref="A1:B1"/>
    <mergeCell ref="A16:B16"/>
    <mergeCell ref="B2:V2"/>
    <mergeCell ref="B13:B15"/>
    <mergeCell ref="D13:D15"/>
    <mergeCell ref="B5:B10"/>
    <mergeCell ref="D5:D6"/>
    <mergeCell ref="D7:D8"/>
    <mergeCell ref="D9:D10"/>
    <mergeCell ref="B11:B12"/>
    <mergeCell ref="D11:D12"/>
  </mergeCells>
  <conditionalFormatting sqref="F4:R4">
    <cfRule type="cellIs" dxfId="282" priority="9" stopIfTrue="1" operator="between">
      <formula>0.22</formula>
      <formula>0.32</formula>
    </cfRule>
    <cfRule type="cellIs" dxfId="281" priority="12" stopIfTrue="1" operator="notBetween">
      <formula>0.22</formula>
      <formula>0.32</formula>
    </cfRule>
  </conditionalFormatting>
  <conditionalFormatting sqref="F4:R15">
    <cfRule type="beginsWith" dxfId="280" priority="1" stopIfTrue="1" operator="beginsWith" text="NA">
      <formula>LEFT(F4,LEN("NA"))="NA"</formula>
    </cfRule>
    <cfRule type="containsBlanks" dxfId="279" priority="2" stopIfTrue="1">
      <formula>LEN(TRIM(F4))=0</formula>
    </cfRule>
  </conditionalFormatting>
  <conditionalFormatting sqref="F5:R10">
    <cfRule type="cellIs" dxfId="278" priority="10" stopIfTrue="1" operator="greaterThan">
      <formula>$E5</formula>
    </cfRule>
    <cfRule type="cellIs" dxfId="277" priority="11" stopIfTrue="1" operator="lessThan">
      <formula>$E5</formula>
    </cfRule>
  </conditionalFormatting>
  <conditionalFormatting sqref="F11:R12">
    <cfRule type="cellIs" dxfId="276" priority="7" stopIfTrue="1" operator="lessThan">
      <formula>$E11</formula>
    </cfRule>
    <cfRule type="cellIs" dxfId="275" priority="8" stopIfTrue="1" operator="greaterThan">
      <formula>$E11</formula>
    </cfRule>
  </conditionalFormatting>
  <conditionalFormatting sqref="F13:R14">
    <cfRule type="cellIs" dxfId="274" priority="5" stopIfTrue="1" operator="greaterThan">
      <formula>$E13</formula>
    </cfRule>
    <cfRule type="cellIs" dxfId="273" priority="6" stopIfTrue="1" operator="lessThan">
      <formula>$E13</formula>
    </cfRule>
  </conditionalFormatting>
  <conditionalFormatting sqref="F15:R15">
    <cfRule type="cellIs" dxfId="272" priority="3" stopIfTrue="1" operator="lessThan">
      <formula>$E$15</formula>
    </cfRule>
    <cfRule type="cellIs" dxfId="271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94FA-98E2-4FA9-8832-A6E019B5CB24}">
  <sheetPr codeName="Sheet5"/>
  <dimension ref="A1:X16"/>
  <sheetViews>
    <sheetView showGridLines="0" topLeftCell="A2" zoomScale="80" zoomScaleNormal="80" workbookViewId="0">
      <selection activeCell="G39" sqref="G39"/>
    </sheetView>
  </sheetViews>
  <sheetFormatPr baseColWidth="10" defaultColWidth="8.6640625" defaultRowHeight="15"/>
  <cols>
    <col min="1" max="1" width="1.5" customWidth="1"/>
    <col min="2" max="2" width="32.33203125" customWidth="1"/>
    <col min="3" max="3" width="47.33203125" customWidth="1"/>
    <col min="4" max="4" width="12" bestFit="1" customWidth="1"/>
    <col min="5" max="5" width="9.6640625" customWidth="1"/>
    <col min="6" max="6" width="8.1640625" style="2" bestFit="1" customWidth="1"/>
    <col min="7" max="7" width="9.33203125" style="2" bestFit="1" customWidth="1"/>
    <col min="8" max="9" width="8.5" style="2" customWidth="1"/>
    <col min="10" max="10" width="9.1640625" style="2" customWidth="1"/>
    <col min="11" max="12" width="7.5" style="2" customWidth="1"/>
    <col min="13" max="13" width="8.1640625" style="2" bestFit="1" customWidth="1"/>
    <col min="14" max="18" width="7.5" style="2" customWidth="1"/>
    <col min="19" max="19" width="10" style="2" customWidth="1"/>
    <col min="20" max="20" width="7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107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05" t="s">
        <v>31</v>
      </c>
      <c r="C4" s="5" t="s">
        <v>32</v>
      </c>
      <c r="D4" s="132" t="s">
        <v>28</v>
      </c>
      <c r="E4" s="206">
        <v>0.8</v>
      </c>
      <c r="F4" s="257">
        <f>SUMIFS(Database!$U:$U,Database!$S:$S,$X$1,Database!$R:$R,MONTH(F$3))</f>
        <v>1</v>
      </c>
      <c r="G4" s="258" t="str">
        <f>IF(SUMIFS(Database!$U:$U,Database!$S:$S,$X$1,Database!$R:$R,MONTH(G$3))=0, "", SUMIFS(Database!$U:$U,Database!$S:$S,$X$1,Database!$R:$R,MONTH(G$3)))</f>
        <v/>
      </c>
      <c r="H4" s="259" t="str">
        <f>IF(SUMIFS(Database!$U:$U,Database!$S:$S,$X$1,Database!$R:$R,MONTH(H$3))=0, "", SUMIFS(Database!$U:$U,Database!$S:$S,$X$1,Database!$R:$R,MONTH(H$3)))</f>
        <v/>
      </c>
      <c r="I4" s="257" t="str">
        <f>IF(SUMIFS(Database!$U:$U,Database!$S:$S,$X$1,Database!$R:$R,MONTH(I$3))=0, "", SUMIFS(Database!$U:$U,Database!$S:$S,$X$1,Database!$R:$R,MONTH(I$3)))</f>
        <v/>
      </c>
      <c r="J4" s="258" t="str">
        <f>IF(SUMIFS(Database!$U:$U,Database!$S:$S,$X$1,Database!$R:$R,MONTH(J$3))=0, "", SUMIFS(Database!$U:$U,Database!$S:$S,$X$1,Database!$R:$R,MONTH(J$3)))</f>
        <v/>
      </c>
      <c r="K4" s="259" t="str">
        <f>IF(SUMIFS(Database!$U:$U,Database!$S:$S,$X$1,Database!$R:$R,MONTH(K$3))=0, "", SUMIFS(Database!$U:$U,Database!$S:$S,$X$1,Database!$R:$R,MONTH(K$3)))</f>
        <v/>
      </c>
      <c r="L4" s="257" t="str">
        <f>IF(SUMIFS(Database!$U:$U,Database!$S:$S,$X$1,Database!$R:$R,MONTH(L$3))=0, "", SUMIFS(Database!$U:$U,Database!$S:$S,$X$1,Database!$R:$R,MONTH(L$3)))</f>
        <v/>
      </c>
      <c r="M4" s="258" t="str">
        <f>IF(SUMIFS(Database!$U:$U,Database!$S:$S,$X$1,Database!$R:$R,MONTH(M$3))=0, "", SUMIFS(Database!$U:$U,Database!$S:$S,$X$1,Database!$R:$R,MONTH(M$3)))</f>
        <v/>
      </c>
      <c r="N4" s="259" t="str">
        <f>IF(SUMIFS(Database!$U:$U,Database!$S:$S,$X$1,Database!$R:$R,MONTH(N$3))=0, "", SUMIFS(Database!$U:$U,Database!$S:$S,$X$1,Database!$R:$R,MONTH(N$3)))</f>
        <v/>
      </c>
      <c r="O4" s="257" t="str">
        <f>IF(SUMIFS(Database!$U:$U,Database!$S:$S,$X$1,Database!$R:$R,MONTH(O$3))=0, "", SUMIFS(Database!$U:$U,Database!$S:$S,$X$1,Database!$R:$R,MONTH(O$3)))</f>
        <v/>
      </c>
      <c r="P4" s="258" t="str">
        <f>IF(SUMIFS(Database!$U:$U,Database!$S:$S,$X$1,Database!$R:$R,MONTH(P$3))=0, "", SUMIFS(Database!$U:$U,Database!$S:$S,$X$1,Database!$R:$R,MONTH(P$3)))</f>
        <v/>
      </c>
      <c r="Q4" s="259" t="str">
        <f>IF(SUMIFS(Database!$U:$U,Database!$S:$S,$X$1,Database!$R:$R,MONTH(Q$3))=0, "", SUMIFS(Database!$U:$U,Database!$S:$S,$X$1,Database!$R:$R,MONTH(Q$3)))</f>
        <v/>
      </c>
      <c r="R4" s="259">
        <f>SUMIF(Database!$S:$S,$X$1,Database!$U:$U)</f>
        <v>1</v>
      </c>
      <c r="S4" s="186">
        <v>1</v>
      </c>
      <c r="T4" s="137">
        <v>1</v>
      </c>
      <c r="U4" s="137">
        <v>0.81</v>
      </c>
      <c r="V4" s="137">
        <v>0.99</v>
      </c>
    </row>
    <row r="5" spans="1:24">
      <c r="A5" s="383"/>
      <c r="B5" s="383"/>
      <c r="C5" s="118"/>
      <c r="D5" s="118"/>
      <c r="E5" s="118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</row>
    <row r="6" spans="1:24">
      <c r="A6" s="383"/>
      <c r="B6" s="383"/>
      <c r="C6" s="20"/>
      <c r="D6" s="118"/>
      <c r="E6" s="118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</row>
    <row r="7" spans="1:24">
      <c r="A7" s="383"/>
      <c r="B7" s="383"/>
      <c r="C7" s="118"/>
      <c r="D7" s="118"/>
      <c r="E7" s="118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</row>
    <row r="8" spans="1:24">
      <c r="A8" s="383"/>
      <c r="B8" s="383"/>
      <c r="C8" s="118"/>
      <c r="D8" s="118"/>
      <c r="E8" s="118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</row>
    <row r="9" spans="1:24">
      <c r="A9" s="383"/>
      <c r="B9" s="383"/>
      <c r="C9" s="118"/>
      <c r="D9" s="118"/>
      <c r="E9" s="118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</row>
    <row r="10" spans="1:24">
      <c r="A10" s="383"/>
      <c r="B10" s="383"/>
      <c r="C10" s="118"/>
      <c r="D10" s="118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</row>
    <row r="12" spans="1:24">
      <c r="G12" s="91"/>
    </row>
    <row r="14" spans="1:24">
      <c r="D14" s="18"/>
    </row>
    <row r="15" spans="1:24">
      <c r="D15" s="18"/>
      <c r="F15" s="94"/>
    </row>
    <row r="16" spans="1:24">
      <c r="D16" s="90"/>
    </row>
  </sheetData>
  <mergeCells count="8">
    <mergeCell ref="A8:B8"/>
    <mergeCell ref="A9:B9"/>
    <mergeCell ref="A10:B10"/>
    <mergeCell ref="B2:V2"/>
    <mergeCell ref="A1:B1"/>
    <mergeCell ref="A5:B5"/>
    <mergeCell ref="A6:B6"/>
    <mergeCell ref="A7:B7"/>
  </mergeCells>
  <conditionalFormatting sqref="F4:R4">
    <cfRule type="beginsWith" dxfId="270" priority="1" stopIfTrue="1" operator="beginsWith" text="NA">
      <formula>LEFT(F4,LEN("NA"))="NA"</formula>
    </cfRule>
    <cfRule type="containsBlanks" dxfId="269" priority="2" stopIfTrue="1">
      <formula>LEN(TRIM(F4))=0</formula>
    </cfRule>
    <cfRule type="cellIs" dxfId="268" priority="3" stopIfTrue="1" operator="greaterThan">
      <formula>$E4</formula>
    </cfRule>
    <cfRule type="cellIs" dxfId="267" priority="4" stopIfTrue="1" operator="lessThan">
      <formula>$E4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E46F-53FA-564C-88C7-F12FB91E9F83}">
  <dimension ref="A1:X27"/>
  <sheetViews>
    <sheetView showGridLines="0" zoomScale="92" zoomScaleNormal="16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7.6640625" customWidth="1"/>
    <col min="4" max="4" width="12" bestFit="1" customWidth="1"/>
    <col min="5" max="5" width="9.6640625" customWidth="1"/>
    <col min="6" max="7" width="8.1640625" style="2" customWidth="1"/>
    <col min="8" max="9" width="8.5" style="2" customWidth="1"/>
    <col min="10" max="10" width="9.1640625" style="2" customWidth="1"/>
    <col min="11" max="11" width="8.33203125" style="2" customWidth="1"/>
    <col min="12" max="12" width="7.5" style="2" customWidth="1"/>
    <col min="13" max="13" width="8.6640625" style="2" customWidth="1"/>
    <col min="14" max="17" width="7.5" style="2" customWidth="1"/>
    <col min="18" max="18" width="8.5" style="2" customWidth="1"/>
    <col min="19" max="19" width="7.5" style="2" customWidth="1"/>
    <col min="21" max="21" width="9.83203125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8"/>
      <c r="X1" s="118" t="s">
        <v>175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120"/>
      <c r="U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20"/>
      <c r="U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 t="str">
        <f>IFERROR(SUMIFS(Database!$O:$O, Database!$N:$N,"*" &amp; $X$1 &amp; "*", Database!$L:$L, MONTH(F$3)) / SUMIFS(Database!$P:$P, Database!$N:$N,"*" &amp; $X$1 &amp; "*", Database!$L:$L, MONTH(F$3)), "NA")</f>
        <v>NA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 t="str">
        <f>IFERROR(SUMIFS(Database!$O:$O, Database!$N:$N,"*"&amp; $X$1&amp;"*") / SUMIFS(Database!$P:$P, Database!$N:$N,"*"&amp; X1&amp;"*"), "NA")</f>
        <v>NA</v>
      </c>
      <c r="S4" s="136"/>
      <c r="T4" s="120"/>
      <c r="U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63"/>
      <c r="T5" s="120"/>
      <c r="U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 t="str">
        <f>IFERROR(SUMIFS(Database!$H:$H, Database!$B:$B,"*" &amp; $X$1 &amp; "*", Database!$D:$D, MONTH(F$3)) / SUMIFS(Database!$G:$G, Database!$B:$B,"*" &amp; $X$1 &amp; "*", Database!$D:$D, MONTH(F$3)), "NA")</f>
        <v>NA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66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 t="str">
        <f>IFERROR(SUMIFS(Database!$H:$H, Database!$B:$B,"*"&amp; X1&amp;"*") / SUMIFS(Database!$G:$G, Database!$B:$B,"*"&amp; X1&amp;"*"), "NA")</f>
        <v>NA</v>
      </c>
      <c r="S6" s="148"/>
      <c r="T6" s="120"/>
      <c r="U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0.5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0.5</v>
      </c>
      <c r="S7" s="154"/>
      <c r="T7" s="120"/>
      <c r="U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0.94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0.94</v>
      </c>
      <c r="S8" s="148"/>
      <c r="T8" s="120"/>
      <c r="U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 t="str">
        <f>IFERROR(_xlfn.XLOOKUP($X$1, Database!$AG$4:$AG$19, Database!AH$4:AH$19),"NA")</f>
        <v>NA</v>
      </c>
      <c r="S9" s="162"/>
      <c r="T9" s="120"/>
      <c r="U9" s="120"/>
    </row>
    <row r="10" spans="1:24" s="3" customFormat="1" ht="18" customHeight="1" thickBot="1">
      <c r="A10" s="120"/>
      <c r="B10" s="394"/>
      <c r="C10" s="97" t="s">
        <v>40</v>
      </c>
      <c r="D10" s="389"/>
      <c r="E10" s="163">
        <v>0.45</v>
      </c>
      <c r="F10" s="267">
        <f>_xlfn.XLOOKUP($X$1, Database!$AG$29:$AG$44,Database!AI$29:AI$44)</f>
        <v>0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 t="str">
        <f>IFERROR(_xlfn.XLOOKUP($X$1, Database!$AG$29:$AG$44,Database!AH$29:AH$44),"NA")</f>
        <v>NA</v>
      </c>
      <c r="S10" s="162"/>
      <c r="T10" s="120"/>
      <c r="U10" s="120"/>
    </row>
    <row r="11" spans="1:24" s="3" customFormat="1" ht="18" customHeight="1">
      <c r="A11" s="120"/>
      <c r="B11" s="398" t="s">
        <v>50</v>
      </c>
      <c r="C11" s="117" t="s">
        <v>42</v>
      </c>
      <c r="D11" s="421" t="s">
        <v>51</v>
      </c>
      <c r="E11" s="166">
        <v>20.079999999999998</v>
      </c>
      <c r="F11" s="287" t="str">
        <f>IF(SUMIFS(Database!$Z:$Z,Database!$Y:$Y,$X$1,Database!$W:$W,MONTH(F$3))=0, "NA", SUMIFS(Database!$Z:$Z,Database!$Y:$Y,$X$1,Database!$W:$W,MONTH(F$3)))</f>
        <v>NA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 t="str">
        <f>IFERROR(SUMIFS(Database!$AE:$AE, Database!$Y:$Y, $X$1) / SUMIFS(Database!$AD:$AD, Database!$Y:$Y, $X$1), "NA")</f>
        <v>NA</v>
      </c>
      <c r="S11" s="195"/>
      <c r="T11" s="138"/>
      <c r="U11" s="138"/>
    </row>
    <row r="12" spans="1:24" s="3" customFormat="1" ht="18" customHeight="1" thickBot="1">
      <c r="A12" s="120"/>
      <c r="B12" s="399"/>
      <c r="C12" s="353" t="s">
        <v>43</v>
      </c>
      <c r="D12" s="416"/>
      <c r="E12" s="359">
        <v>1.75</v>
      </c>
      <c r="F12" s="341" t="str">
        <f>IF(SUMIFS(Database!$AA:$AA,Database!$Y:$Y,$X$1,Database!$W:$W,MONTH(F$3))=0, "NA", SUMIFS(Database!$AA:$AA,Database!$Y:$Y,$X$1,Database!$W:$W,MONTH(F$3)))</f>
        <v>NA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 t="str">
        <f>IFERROR(SUMIFS(Database!$AC:$AC, Database!$Y:$Y, $X$1) / SUMIFS(Database!$AB:$AB, Database!$Y:$Y, $X$1), "NA")</f>
        <v>NA</v>
      </c>
      <c r="S12" s="222"/>
      <c r="T12" s="138"/>
      <c r="U12" s="138"/>
    </row>
    <row r="13" spans="1:24" s="3" customFormat="1" ht="18" customHeight="1">
      <c r="A13" s="120"/>
      <c r="B13" s="385" t="s">
        <v>44</v>
      </c>
      <c r="C13" s="7" t="s">
        <v>45</v>
      </c>
      <c r="D13" s="388" t="s">
        <v>46</v>
      </c>
      <c r="E13" s="191">
        <v>0.8</v>
      </c>
      <c r="F13" s="307" t="s">
        <v>30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162"/>
      <c r="T13" s="120"/>
      <c r="U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279"/>
      <c r="T14" s="120"/>
      <c r="U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120"/>
      <c r="U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8"/>
      <c r="U16" s="118"/>
    </row>
    <row r="17" spans="1:21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8"/>
      <c r="U17" s="118"/>
    </row>
    <row r="18" spans="1:21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8"/>
    </row>
    <row r="19" spans="1:21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8"/>
    </row>
    <row r="20" spans="1:21">
      <c r="F20" s="89"/>
      <c r="G20" s="89"/>
      <c r="H20" s="89"/>
    </row>
    <row r="23" spans="1:21">
      <c r="G23" s="91"/>
    </row>
    <row r="25" spans="1:21">
      <c r="D25" s="18"/>
    </row>
    <row r="26" spans="1:21">
      <c r="D26" s="18"/>
      <c r="F26" s="94"/>
    </row>
    <row r="27" spans="1:21">
      <c r="D27" s="90"/>
    </row>
  </sheetData>
  <mergeCells count="14">
    <mergeCell ref="A18:B18"/>
    <mergeCell ref="A19:B19"/>
    <mergeCell ref="B11:B12"/>
    <mergeCell ref="D11:D12"/>
    <mergeCell ref="B13:B15"/>
    <mergeCell ref="D13:D15"/>
    <mergeCell ref="A16:B16"/>
    <mergeCell ref="A17:B17"/>
    <mergeCell ref="A1:B1"/>
    <mergeCell ref="B2:S2"/>
    <mergeCell ref="B5:B10"/>
    <mergeCell ref="D5:D6"/>
    <mergeCell ref="D7:D8"/>
    <mergeCell ref="D9:D10"/>
  </mergeCells>
  <conditionalFormatting sqref="F4:R4">
    <cfRule type="cellIs" dxfId="266" priority="9" stopIfTrue="1" operator="between">
      <formula>0.22</formula>
      <formula>0.32</formula>
    </cfRule>
    <cfRule type="cellIs" dxfId="265" priority="12" stopIfTrue="1" operator="notBetween">
      <formula>0.22</formula>
      <formula>0.32</formula>
    </cfRule>
  </conditionalFormatting>
  <conditionalFormatting sqref="F4:R15">
    <cfRule type="beginsWith" dxfId="264" priority="1" stopIfTrue="1" operator="beginsWith" text="NA">
      <formula>LEFT(F4,LEN("NA"))="NA"</formula>
    </cfRule>
    <cfRule type="containsBlanks" dxfId="263" priority="2" stopIfTrue="1">
      <formula>LEN(TRIM(F4))=0</formula>
    </cfRule>
  </conditionalFormatting>
  <conditionalFormatting sqref="F5:R10">
    <cfRule type="cellIs" dxfId="262" priority="10" stopIfTrue="1" operator="greaterThan">
      <formula>$E5</formula>
    </cfRule>
    <cfRule type="cellIs" dxfId="261" priority="11" stopIfTrue="1" operator="lessThan">
      <formula>$E5</formula>
    </cfRule>
  </conditionalFormatting>
  <conditionalFormatting sqref="F11:R12">
    <cfRule type="cellIs" dxfId="260" priority="7" stopIfTrue="1" operator="lessThan">
      <formula>$E11</formula>
    </cfRule>
    <cfRule type="cellIs" dxfId="259" priority="8" stopIfTrue="1" operator="greaterThan">
      <formula>$E11</formula>
    </cfRule>
  </conditionalFormatting>
  <conditionalFormatting sqref="F13:R14">
    <cfRule type="cellIs" dxfId="258" priority="5" stopIfTrue="1" operator="greaterThan">
      <formula>$E13</formula>
    </cfRule>
    <cfRule type="cellIs" dxfId="257" priority="6" stopIfTrue="1" operator="lessThan">
      <formula>$E13</formula>
    </cfRule>
  </conditionalFormatting>
  <conditionalFormatting sqref="F15:R15">
    <cfRule type="cellIs" dxfId="256" priority="3" stopIfTrue="1" operator="lessThan">
      <formula>$E$15</formula>
    </cfRule>
    <cfRule type="cellIs" dxfId="255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5EB-8545-654A-9C6F-3F271276FB4D}">
  <dimension ref="A1:X27"/>
  <sheetViews>
    <sheetView showGridLines="0" zoomScale="92" zoomScaleNormal="16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7.6640625" customWidth="1"/>
    <col min="4" max="4" width="12" bestFit="1" customWidth="1"/>
    <col min="5" max="5" width="9.6640625" customWidth="1"/>
    <col min="6" max="7" width="8.1640625" style="2" customWidth="1"/>
    <col min="8" max="9" width="8.5" style="2" customWidth="1"/>
    <col min="10" max="10" width="9.1640625" style="2" customWidth="1"/>
    <col min="11" max="11" width="8.33203125" style="2" customWidth="1"/>
    <col min="12" max="12" width="7.5" style="2" customWidth="1"/>
    <col min="13" max="13" width="8.6640625" style="2" customWidth="1"/>
    <col min="14" max="17" width="7.5" style="2" customWidth="1"/>
    <col min="18" max="18" width="8.5" style="2" customWidth="1"/>
    <col min="19" max="19" width="7.5" style="2" customWidth="1"/>
    <col min="21" max="21" width="9.83203125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8"/>
      <c r="X1" s="118" t="s">
        <v>97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120"/>
      <c r="U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20"/>
      <c r="U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 t="str">
        <f>IFERROR(SUMIFS(Database!$O:$O, Database!$N:$N,"*" &amp; $X$1 &amp; "*", Database!$L:$L, MONTH(F$3)) / SUMIFS(Database!$P:$P, Database!$N:$N,"*" &amp; $X$1 &amp; "*", Database!$L:$L, MONTH(F$3)), "NA")</f>
        <v>NA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 t="str">
        <f>IFERROR(SUMIFS(Database!$O:$O, Database!$N:$N,"*"&amp; $X$1&amp;"*") / SUMIFS(Database!$P:$P, Database!$N:$N,"*"&amp; X1&amp;"*"), "NA")</f>
        <v>NA</v>
      </c>
      <c r="S4" s="136"/>
      <c r="T4" s="120"/>
      <c r="U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63"/>
      <c r="T5" s="120"/>
      <c r="U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"")</f>
        <v>0.40307293068028244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66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0.40307293068028244</v>
      </c>
      <c r="S6" s="148"/>
      <c r="T6" s="120"/>
      <c r="U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0.75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0.75</v>
      </c>
      <c r="S7" s="154"/>
      <c r="T7" s="120"/>
      <c r="U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0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</v>
      </c>
      <c r="S8" s="148"/>
      <c r="T8" s="120"/>
      <c r="U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 t="str">
        <f>IFERROR(_xlfn.XLOOKUP($X$1, Database!$AG$4:$AG$19, Database!AH$4:AH$19),"NA")</f>
        <v>NA</v>
      </c>
      <c r="S9" s="162"/>
      <c r="T9" s="120"/>
      <c r="U9" s="120"/>
    </row>
    <row r="10" spans="1:24" s="3" customFormat="1" ht="18" customHeight="1" thickBot="1">
      <c r="A10" s="120"/>
      <c r="B10" s="394"/>
      <c r="C10" s="97" t="s">
        <v>40</v>
      </c>
      <c r="D10" s="389"/>
      <c r="E10" s="163">
        <v>0.45</v>
      </c>
      <c r="F10" s="267">
        <f>_xlfn.XLOOKUP($X$1, Database!$AG$29:$AG$44,Database!AI$29:AI$44)</f>
        <v>0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 t="str">
        <f>IFERROR(_xlfn.XLOOKUP($X$1, Database!$AG$29:$AG$44,Database!AH$29:AH$44),"NA")</f>
        <v>NA</v>
      </c>
      <c r="S10" s="162"/>
      <c r="T10" s="120"/>
      <c r="U10" s="120"/>
    </row>
    <row r="11" spans="1:24" s="3" customFormat="1" ht="18" customHeight="1">
      <c r="A11" s="120"/>
      <c r="B11" s="398" t="s">
        <v>50</v>
      </c>
      <c r="C11" s="117" t="s">
        <v>42</v>
      </c>
      <c r="D11" s="421" t="s">
        <v>51</v>
      </c>
      <c r="E11" s="166">
        <v>20.079999999999998</v>
      </c>
      <c r="F11" s="287">
        <f>IF(SUMIFS(Database!$Z:$Z,Database!$Y:$Y,$X$1,Database!$W:$W,MONTH(F$3))=0, "", SUMIFS(Database!$Z:$Z,Database!$Y:$Y,$X$1,Database!$W:$W,MONTH(F$3)))</f>
        <v>452.76875000000001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452.76875000000001</v>
      </c>
      <c r="S11" s="195"/>
      <c r="T11" s="138"/>
      <c r="U11" s="138"/>
    </row>
    <row r="12" spans="1:24" s="3" customFormat="1" ht="18" customHeight="1" thickBot="1">
      <c r="A12" s="120"/>
      <c r="B12" s="399"/>
      <c r="C12" s="353" t="s">
        <v>43</v>
      </c>
      <c r="D12" s="416"/>
      <c r="E12" s="359">
        <v>1.75</v>
      </c>
      <c r="F12" s="341" t="str">
        <f>IF(SUMIFS(Database!$AA:$AA,Database!$Y:$Y,$X$1,Database!$W:$W,MONTH(F$3))=0, "NA", SUMIFS(Database!$AA:$AA,Database!$Y:$Y,$X$1,Database!$W:$W,MONTH(F$3)))</f>
        <v>NA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 t="str">
        <f>IFERROR(SUMIFS(Database!$AC:$AC, Database!$Y:$Y, $X$1) / SUMIFS(Database!$AB:$AB, Database!$Y:$Y, $X$1), "NA")</f>
        <v>NA</v>
      </c>
      <c r="S12" s="222"/>
      <c r="T12" s="138"/>
      <c r="U12" s="138"/>
    </row>
    <row r="13" spans="1:24" s="3" customFormat="1" ht="18" customHeight="1">
      <c r="A13" s="120"/>
      <c r="B13" s="385" t="s">
        <v>44</v>
      </c>
      <c r="C13" s="7" t="s">
        <v>45</v>
      </c>
      <c r="D13" s="388" t="s">
        <v>46</v>
      </c>
      <c r="E13" s="191">
        <v>0.8</v>
      </c>
      <c r="F13" s="307" t="s">
        <v>30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162"/>
      <c r="T13" s="120"/>
      <c r="U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279"/>
      <c r="T14" s="120"/>
      <c r="U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120"/>
      <c r="U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8"/>
      <c r="U16" s="118"/>
    </row>
    <row r="17" spans="1:21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8"/>
      <c r="U17" s="118"/>
    </row>
    <row r="18" spans="1:21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8"/>
    </row>
    <row r="19" spans="1:21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8"/>
    </row>
    <row r="20" spans="1:21">
      <c r="F20" s="89"/>
      <c r="G20" s="89"/>
      <c r="H20" s="89"/>
    </row>
    <row r="23" spans="1:21">
      <c r="G23" s="91"/>
    </row>
    <row r="25" spans="1:21">
      <c r="D25" s="18"/>
    </row>
    <row r="26" spans="1:21">
      <c r="D26" s="18"/>
      <c r="F26" s="94"/>
    </row>
    <row r="27" spans="1:21">
      <c r="D27" s="90"/>
    </row>
  </sheetData>
  <mergeCells count="14">
    <mergeCell ref="A18:B18"/>
    <mergeCell ref="A19:B19"/>
    <mergeCell ref="B11:B12"/>
    <mergeCell ref="D11:D12"/>
    <mergeCell ref="B13:B15"/>
    <mergeCell ref="D13:D15"/>
    <mergeCell ref="A16:B16"/>
    <mergeCell ref="A17:B17"/>
    <mergeCell ref="A1:B1"/>
    <mergeCell ref="B2:S2"/>
    <mergeCell ref="B5:B10"/>
    <mergeCell ref="D5:D6"/>
    <mergeCell ref="D7:D8"/>
    <mergeCell ref="D9:D10"/>
  </mergeCells>
  <conditionalFormatting sqref="F4:R4">
    <cfRule type="cellIs" dxfId="254" priority="9" stopIfTrue="1" operator="between">
      <formula>0.22</formula>
      <formula>0.32</formula>
    </cfRule>
    <cfRule type="cellIs" dxfId="253" priority="12" stopIfTrue="1" operator="notBetween">
      <formula>0.22</formula>
      <formula>0.32</formula>
    </cfRule>
  </conditionalFormatting>
  <conditionalFormatting sqref="F4:R15">
    <cfRule type="beginsWith" dxfId="252" priority="1" stopIfTrue="1" operator="beginsWith" text="NA">
      <formula>LEFT(F4,LEN("NA"))="NA"</formula>
    </cfRule>
    <cfRule type="containsBlanks" dxfId="251" priority="2" stopIfTrue="1">
      <formula>LEN(TRIM(F4))=0</formula>
    </cfRule>
  </conditionalFormatting>
  <conditionalFormatting sqref="F5:R10">
    <cfRule type="cellIs" dxfId="250" priority="10" stopIfTrue="1" operator="greaterThan">
      <formula>$E5</formula>
    </cfRule>
    <cfRule type="cellIs" dxfId="249" priority="11" stopIfTrue="1" operator="lessThan">
      <formula>$E5</formula>
    </cfRule>
  </conditionalFormatting>
  <conditionalFormatting sqref="F11:R12">
    <cfRule type="cellIs" dxfId="248" priority="7" stopIfTrue="1" operator="lessThan">
      <formula>$E11</formula>
    </cfRule>
    <cfRule type="cellIs" dxfId="247" priority="8" stopIfTrue="1" operator="greaterThan">
      <formula>$E11</formula>
    </cfRule>
  </conditionalFormatting>
  <conditionalFormatting sqref="F13:R14">
    <cfRule type="cellIs" dxfId="246" priority="5" stopIfTrue="1" operator="greaterThan">
      <formula>$E13</formula>
    </cfRule>
    <cfRule type="cellIs" dxfId="245" priority="6" stopIfTrue="1" operator="lessThan">
      <formula>$E13</formula>
    </cfRule>
  </conditionalFormatting>
  <conditionalFormatting sqref="F15:R15">
    <cfRule type="cellIs" dxfId="244" priority="3" stopIfTrue="1" operator="lessThan">
      <formula>$E$15</formula>
    </cfRule>
    <cfRule type="cellIs" dxfId="243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5638-4758-9F4C-9703-51A1208E9E94}">
  <sheetPr codeName="Sheet6"/>
  <dimension ref="A1:X27"/>
  <sheetViews>
    <sheetView showGridLines="0" zoomScale="83" zoomScaleNormal="16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7.6640625" customWidth="1"/>
    <col min="4" max="4" width="12" bestFit="1" customWidth="1"/>
    <col min="5" max="5" width="9.6640625" customWidth="1"/>
    <col min="6" max="7" width="8.1640625" style="2" customWidth="1"/>
    <col min="8" max="9" width="8.5" style="2" customWidth="1"/>
    <col min="10" max="10" width="9.1640625" style="2" customWidth="1"/>
    <col min="11" max="11" width="8.33203125" style="2" customWidth="1"/>
    <col min="12" max="12" width="7.5" style="2" customWidth="1"/>
    <col min="13" max="13" width="8.6640625" style="2" customWidth="1"/>
    <col min="14" max="17" width="7.5" style="2" customWidth="1"/>
    <col min="18" max="18" width="8.5" style="2" customWidth="1"/>
    <col min="19" max="19" width="7.5" style="2" customWidth="1"/>
    <col min="20" max="20" width="11" style="2" customWidth="1"/>
    <col min="21" max="21" width="11.1640625" style="2" customWidth="1"/>
    <col min="22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12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Database!$N:$N,$X$1, Database!$L:$L, MONTH(F$3)) / SUMIFS(Database!$P:$P, Database!$N:$N,$X$1, Database!$L:$L, MONTH(F$3)), "NA")</f>
        <v>0.22202073182215187</v>
      </c>
      <c r="G4" s="258" t="str">
        <f>IFERROR(SUMIFS(Database!$O:$O, Database!$N:$N,$X$1, Database!$L:$L, MONTH(G$3)) / SUMIFS(Database!$P:$P, Database!$N:$N,$X$1, Database!$L:$L, MONTH(G$3)), "")</f>
        <v/>
      </c>
      <c r="H4" s="259" t="str">
        <f>IFERROR(SUMIFS(Database!$O:$O, Database!$N:$N,$X$1, Database!$L:$L, MONTH(H$3)) / SUMIFS(Database!$P:$P, Database!$N:$N,$X$1, Database!$L:$L, MONTH(H$3)), "")</f>
        <v/>
      </c>
      <c r="I4" s="257" t="str">
        <f>IFERROR(SUMIFS(Database!$O:$O, Database!$N:$N,$X$1, Database!$L:$L, MONTH(I$3)) / SUMIFS(Database!$P:$P, Database!$N:$N,$X$1, Database!$L:$L, MONTH(I$3)), "")</f>
        <v/>
      </c>
      <c r="J4" s="258" t="str">
        <f>IFERROR(SUMIFS(Database!$O:$O, Database!$N:$N,$X$1, Database!$L:$L, MONTH(J$3)) / SUMIFS(Database!$P:$P, Database!$N:$N,$X$1, Database!$L:$L, MONTH(J$3)), "")</f>
        <v/>
      </c>
      <c r="K4" s="259" t="str">
        <f>IFERROR(SUMIFS(Database!$O:$O, Database!$N:$N,$X$1, Database!$L:$L, MONTH(K$3)) / SUMIFS(Database!$P:$P, Database!$N:$N,$X$1, Database!$L:$L, MONTH(K$3)), "")</f>
        <v/>
      </c>
      <c r="L4" s="257" t="str">
        <f>IFERROR(SUMIFS(Database!$O:$O, Database!$N:$N,$X$1, Database!$L:$L, MONTH(L$3)) / SUMIFS(Database!$P:$P, Database!$N:$N,$X$1, Database!$L:$L, MONTH(L$3)), "")</f>
        <v/>
      </c>
      <c r="M4" s="258" t="str">
        <f>IFERROR(SUMIFS(Database!$O:$O, Database!$N:$N,$X$1, Database!$L:$L, MONTH(M$3)) / SUMIFS(Database!$P:$P, Database!$N:$N,$X$1, Database!$L:$L, MONTH(M$3)), "")</f>
        <v/>
      </c>
      <c r="N4" s="259" t="str">
        <f>IFERROR(SUMIFS(Database!$O:$O, Database!$N:$N,$X$1, Database!$L:$L, MONTH(N$3)) / SUMIFS(Database!$P:$P, Database!$N:$N,$X$1, Database!$L:$L, MONTH(N$3)), "")</f>
        <v/>
      </c>
      <c r="O4" s="260" t="str">
        <f>IFERROR(SUMIFS(Database!$O:$O, Database!$N:$N,$X$1, Database!$L:$L, MONTH(O$3)) / SUMIFS(Database!$P:$P, Database!$N:$N,$X$1, Database!$L:$L, MONTH(O$3)), "")</f>
        <v/>
      </c>
      <c r="P4" s="258" t="str">
        <f>IFERROR(SUMIFS(Database!$O:$O, Database!$N:$N,$X$1, Database!$L:$L, MONTH(P$3)) / SUMIFS(Database!$P:$P, Database!$N:$N,$X$1, Database!$L:$L, MONTH(P$3)), "")</f>
        <v/>
      </c>
      <c r="Q4" s="259" t="str">
        <f>IFERROR(SUMIFS(Database!$O:$O, Database!$N:$N,$X$1, Database!$L:$L, MONTH(Q$3)) / SUMIFS(Database!$P:$P, Database!$N:$N,$X$1, Database!$L:$L, MONTH(Q$3)), "")</f>
        <v/>
      </c>
      <c r="R4" s="259">
        <f>IFERROR(SUMIFS(Database!$O:$O, Database!$N:$N,$X$1) / SUMIFS(Database!$P:$P, Database!$N:$N,$X$1), "NA")</f>
        <v>0.22202073182215187</v>
      </c>
      <c r="S4" s="257"/>
      <c r="T4" s="137">
        <v>0.26</v>
      </c>
      <c r="U4" s="137">
        <v>0.3</v>
      </c>
      <c r="V4" s="137">
        <v>0.33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261">
        <v>1</v>
      </c>
      <c r="T5" s="175">
        <v>1</v>
      </c>
      <c r="U5" s="175">
        <v>0.81</v>
      </c>
      <c r="V5" s="175">
        <v>0.99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Database!$B:$B,$X$1, Database!$D:$D, MONTH(F$3)) / SUMIFS(Database!$G:$G, Database!$B:$B, $X$1, Database!$D:$D, MONTH(F$3)), "NA")</f>
        <v>1</v>
      </c>
      <c r="G6" s="265" t="str">
        <f>IFERROR(SUMIFS(Database!$H:$H, Database!$B:$B,$X$1, Database!$D:$D, MONTH(G$3)) / SUMIFS(Database!$G:$G, Database!$B:$B, $X$1,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Database!$B:$B,$X$1) / SUMIFS(Database!$G:$G, Database!$B:$B,$X$1), "NA")</f>
        <v>1</v>
      </c>
      <c r="S6" s="264"/>
      <c r="T6" s="149">
        <v>0.8</v>
      </c>
      <c r="U6" s="149">
        <v>0.72</v>
      </c>
      <c r="V6" s="149">
        <v>0.81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270"/>
      <c r="T7" s="156">
        <v>0.83</v>
      </c>
      <c r="U7" s="156">
        <v>0.7</v>
      </c>
      <c r="V7" s="156">
        <v>0.08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264"/>
      <c r="T8" s="158">
        <v>0.57999999999999996</v>
      </c>
      <c r="U8" s="158">
        <v>0.41</v>
      </c>
      <c r="V8" s="158">
        <v>0.63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0.27700000000000002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_xlfn.XLOOKUP($X$1, Database!$AG$4:$AG$19, Database!AH$4:AH$19)</f>
        <v>0.27700000000000002</v>
      </c>
      <c r="S9" s="267"/>
      <c r="T9" s="149">
        <v>0.25</v>
      </c>
      <c r="U9" s="149">
        <v>0.23</v>
      </c>
      <c r="V9" s="149">
        <v>0.12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63">
        <v>0.45</v>
      </c>
      <c r="F10" s="267">
        <f>_xlfn.XLOOKUP($X$1, Database!$AG$29:$AG$44,Database!AI$29:AI$44)</f>
        <v>1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>
        <f>_xlfn.XLOOKUP($X$1, Database!$AG$29:$AG$44,Database!AH$29:AH$44)</f>
        <v>1</v>
      </c>
      <c r="S10" s="267"/>
      <c r="T10" s="149">
        <v>0.79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117" t="s">
        <v>42</v>
      </c>
      <c r="D11" s="420" t="s">
        <v>51</v>
      </c>
      <c r="E11" s="166">
        <v>20.079999999999998</v>
      </c>
      <c r="F11" s="287">
        <f>IF(SUMIFS(Database!$Z:$Z,Database!$Y:$Y,$X$1,Database!$W:$W,MONTH(F$3))=0, "", SUMIFS(Database!$Z:$Z,Database!$Y:$Y,$X$1,Database!$W:$W,MONTH(F$3)))</f>
        <v>26.585642539999998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26.585642540322581</v>
      </c>
      <c r="S11" s="287"/>
      <c r="T11" s="196">
        <v>25.17</v>
      </c>
      <c r="U11" s="196">
        <v>30.42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399"/>
      <c r="C12" s="353" t="s">
        <v>43</v>
      </c>
      <c r="D12" s="416"/>
      <c r="E12" s="359">
        <v>1.75</v>
      </c>
      <c r="F12" s="341">
        <f>IF(SUMIFS(Database!$AA:$AA,Database!$Y:$Y,$X$1,Database!$W:$W,MONTH(F$3))=0, "", SUMIFS(Database!$AA:$AA,Database!$Y:$Y,$X$1,Database!$W:$W,MONTH(F$3)))</f>
        <v>5.527289251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>
        <f>IFERROR(SUMIFS(Database!$AC:$AC, Database!$Y:$Y, $X$1) / SUMIFS(Database!$AB:$AB, Database!$Y:$Y, $X$1), "")</f>
        <v>5.5272892510184892</v>
      </c>
      <c r="S12" s="341"/>
      <c r="T12" s="354">
        <v>1.92</v>
      </c>
      <c r="U12" s="354">
        <v>3.51</v>
      </c>
      <c r="V12" s="358" t="s">
        <v>30</v>
      </c>
      <c r="W12" s="138"/>
      <c r="X12" s="138"/>
    </row>
    <row r="13" spans="1:24" s="3" customFormat="1" ht="18" customHeight="1">
      <c r="A13" s="120"/>
      <c r="B13" s="385" t="s">
        <v>44</v>
      </c>
      <c r="C13" s="7" t="s">
        <v>45</v>
      </c>
      <c r="D13" s="388" t="s">
        <v>46</v>
      </c>
      <c r="E13" s="191">
        <v>0.8</v>
      </c>
      <c r="F13" s="307" t="s">
        <v>30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307"/>
      <c r="T13" s="149">
        <v>0.94</v>
      </c>
      <c r="U13" s="149">
        <v>0.79</v>
      </c>
      <c r="V13" s="149">
        <v>0.5</v>
      </c>
      <c r="W13" s="120"/>
      <c r="X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307">
        <v>0.89</v>
      </c>
      <c r="T14" s="149">
        <v>0.89</v>
      </c>
      <c r="U14" s="149">
        <v>0.51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310"/>
      <c r="T15" s="256">
        <v>0.02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</row>
    <row r="20" spans="1:24">
      <c r="F20" s="89"/>
      <c r="G20" s="89"/>
      <c r="H20" s="89"/>
    </row>
    <row r="23" spans="1:24">
      <c r="G23" s="91"/>
    </row>
    <row r="25" spans="1:24">
      <c r="D25" s="18"/>
    </row>
    <row r="26" spans="1:24">
      <c r="D26" s="18"/>
      <c r="F26" s="94"/>
    </row>
    <row r="27" spans="1:24">
      <c r="D27" s="90"/>
    </row>
  </sheetData>
  <mergeCells count="14">
    <mergeCell ref="A18:B18"/>
    <mergeCell ref="A19:B19"/>
    <mergeCell ref="A1:B1"/>
    <mergeCell ref="A16:B16"/>
    <mergeCell ref="A17:B17"/>
    <mergeCell ref="B13:B15"/>
    <mergeCell ref="D13:D15"/>
    <mergeCell ref="B2:V2"/>
    <mergeCell ref="B5:B10"/>
    <mergeCell ref="D5:D6"/>
    <mergeCell ref="D7:D8"/>
    <mergeCell ref="D9:D10"/>
    <mergeCell ref="B11:B12"/>
    <mergeCell ref="D11:D12"/>
  </mergeCells>
  <conditionalFormatting sqref="F4:S4">
    <cfRule type="cellIs" dxfId="242" priority="9" stopIfTrue="1" operator="between">
      <formula>0.22</formula>
      <formula>0.32</formula>
    </cfRule>
    <cfRule type="cellIs" dxfId="241" priority="12" stopIfTrue="1" operator="notBetween">
      <formula>0.22</formula>
      <formula>0.32</formula>
    </cfRule>
  </conditionalFormatting>
  <conditionalFormatting sqref="F4:S15">
    <cfRule type="beginsWith" dxfId="240" priority="1" stopIfTrue="1" operator="beginsWith" text="NA">
      <formula>LEFT(F4,LEN("NA"))="NA"</formula>
    </cfRule>
    <cfRule type="containsBlanks" dxfId="239" priority="2" stopIfTrue="1">
      <formula>LEN(TRIM(F4))=0</formula>
    </cfRule>
  </conditionalFormatting>
  <conditionalFormatting sqref="F5:S10">
    <cfRule type="cellIs" dxfId="238" priority="10" stopIfTrue="1" operator="greaterThan">
      <formula>$E5</formula>
    </cfRule>
    <cfRule type="cellIs" dxfId="237" priority="11" stopIfTrue="1" operator="lessThan">
      <formula>$E5</formula>
    </cfRule>
  </conditionalFormatting>
  <conditionalFormatting sqref="F11:S12">
    <cfRule type="cellIs" dxfId="236" priority="7" stopIfTrue="1" operator="lessThan">
      <formula>$E11</formula>
    </cfRule>
    <cfRule type="cellIs" dxfId="235" priority="8" stopIfTrue="1" operator="greaterThan">
      <formula>$E11</formula>
    </cfRule>
  </conditionalFormatting>
  <conditionalFormatting sqref="F13:S14">
    <cfRule type="cellIs" dxfId="234" priority="5" stopIfTrue="1" operator="greaterThan">
      <formula>$E13</formula>
    </cfRule>
    <cfRule type="cellIs" dxfId="233" priority="6" stopIfTrue="1" operator="lessThan">
      <formula>$E13</formula>
    </cfRule>
  </conditionalFormatting>
  <conditionalFormatting sqref="F15:S15">
    <cfRule type="cellIs" dxfId="232" priority="3" stopIfTrue="1" operator="lessThan">
      <formula>$E$15</formula>
    </cfRule>
    <cfRule type="cellIs" dxfId="231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B46B-E072-184C-9C6F-7E5E2BE8CDF6}">
  <sheetPr codeName="Sheet14"/>
  <dimension ref="A1:X27"/>
  <sheetViews>
    <sheetView showGridLines="0" topLeftCell="B1" zoomScaleNormal="13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4.1640625" bestFit="1" customWidth="1"/>
    <col min="4" max="4" width="12" bestFit="1" customWidth="1"/>
    <col min="5" max="5" width="9" bestFit="1" customWidth="1"/>
    <col min="6" max="6" width="8.5" style="2" bestFit="1" customWidth="1"/>
    <col min="7" max="7" width="7.6640625" style="2" bestFit="1" customWidth="1"/>
    <col min="8" max="8" width="8.5" style="2" bestFit="1" customWidth="1"/>
    <col min="9" max="9" width="8.6640625" style="2" bestFit="1" customWidth="1"/>
    <col min="10" max="11" width="7.6640625" style="2" bestFit="1" customWidth="1"/>
    <col min="12" max="14" width="10.1640625" style="2" customWidth="1"/>
    <col min="15" max="15" width="7" style="2" bestFit="1" customWidth="1"/>
    <col min="16" max="16" width="7.5" style="2" bestFit="1" customWidth="1"/>
    <col min="17" max="17" width="7.1640625" style="2" bestFit="1" customWidth="1"/>
    <col min="18" max="20" width="9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18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Database!$N:$N,"*" &amp; $X$1 &amp; "*", Database!$L:$L, MONTH(F$3)) / SUMIFS(Database!$P:$P, Database!$N:$N,"*" &amp; $X$1 &amp; "*", Database!$L:$L, MONTH(F$3)), "")</f>
        <v>0.26231190538214877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0.26231190538214877</v>
      </c>
      <c r="S4" s="136"/>
      <c r="T4" s="137">
        <v>0.3</v>
      </c>
      <c r="U4" s="137">
        <v>0.34</v>
      </c>
      <c r="V4" s="137">
        <v>0.28000000000000003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142">
        <v>1</v>
      </c>
      <c r="T5" s="175">
        <v>0</v>
      </c>
      <c r="U5" s="175">
        <v>0.78</v>
      </c>
      <c r="V5" s="175">
        <v>0.93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"")</f>
        <v>0.67525648632332103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0.67525648632332103</v>
      </c>
      <c r="S6" s="148"/>
      <c r="T6" s="149">
        <v>0.49</v>
      </c>
      <c r="U6" s="149">
        <v>0.59</v>
      </c>
      <c r="V6" s="149">
        <v>0.49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0.63</v>
      </c>
      <c r="U7" s="156">
        <v>0.52</v>
      </c>
      <c r="V7" s="156">
        <v>0.48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255"/>
      <c r="T8" s="158">
        <v>0.44</v>
      </c>
      <c r="U8" s="158">
        <v>0.51</v>
      </c>
      <c r="V8" s="158">
        <v>0.33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 t="str">
        <f>IFERROR(_xlfn.XLOOKUP($X$1, Database!$AG$4:$AG$19, Database!AH$4:AH$19),"NA")</f>
        <v>NA</v>
      </c>
      <c r="S9" s="162"/>
      <c r="T9" s="149">
        <v>0.16</v>
      </c>
      <c r="U9" s="149">
        <v>0.08</v>
      </c>
      <c r="V9" s="149">
        <v>0.43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63">
        <v>0.45</v>
      </c>
      <c r="F10" s="267">
        <f>_xlfn.XLOOKUP($X$1, Database!$AG$29:$AG$44,Database!AI$29:AI$44)</f>
        <v>0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 t="str">
        <f>IFERROR(_xlfn.XLOOKUP($X$1, Database!$AG$29:$AG$44,Database!AH$29:AH$44),"NA")</f>
        <v>NA</v>
      </c>
      <c r="S10" s="162"/>
      <c r="T10" s="149">
        <v>0.19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96" t="s">
        <v>42</v>
      </c>
      <c r="D11" s="388" t="s">
        <v>51</v>
      </c>
      <c r="E11" s="166">
        <v>20.079999999999998</v>
      </c>
      <c r="F11" s="287" t="str">
        <f>IF(SUMIFS(Database!$Z:$Z,Database!$Y:$Y,$X$1,Database!$W:$W,MONTH(F$3))=0, "NA", SUMIFS(Database!$Z:$Z,Database!$Y:$Y,$X$1,Database!$W:$W,MONTH(F$3)))</f>
        <v>NA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0</v>
      </c>
      <c r="S11" s="169"/>
      <c r="T11" s="196">
        <v>26.5</v>
      </c>
      <c r="U11" s="196">
        <v>28.61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399"/>
      <c r="C12" s="97" t="s">
        <v>43</v>
      </c>
      <c r="D12" s="389"/>
      <c r="E12" s="359">
        <v>1.75</v>
      </c>
      <c r="F12" s="293" t="str">
        <f>IF(SUMIFS(Database!$AA:$AA,Database!$Y:$Y,$X$1,Database!$W:$W,MONTH(F$3))=0, "NA", SUMIFS(Database!$AA:$AA,Database!$Y:$Y,$X$1,Database!$W:$W,MONTH(F$3)))</f>
        <v>NA</v>
      </c>
      <c r="G12" s="294" t="str">
        <f>IF(SUMIFS(Database!$AA:$AA,Database!$Y:$Y,$X$1,Database!$W:$W,MONTH(G$3))=0, "", SUMIFS(Database!$AA:$AA,Database!$Y:$Y,$X$1,Database!$W:$W,MONTH(G$3)))</f>
        <v/>
      </c>
      <c r="H12" s="292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>
        <f>IFERROR(SUMIFS(Database!$AC:$AC, Database!$Y:$Y, $X$1) / SUMIFS(Database!$AB:$AB, Database!$Y:$Y, $X$1), "")</f>
        <v>0</v>
      </c>
      <c r="S12" s="172"/>
      <c r="T12" s="170">
        <v>1.72</v>
      </c>
      <c r="U12" s="170">
        <v>2.19</v>
      </c>
      <c r="V12" s="201" t="s">
        <v>30</v>
      </c>
      <c r="W12" s="138"/>
      <c r="X12" s="138"/>
    </row>
    <row r="13" spans="1:24" s="3" customFormat="1" ht="18" customHeight="1">
      <c r="A13" s="120"/>
      <c r="B13" s="385" t="s">
        <v>44</v>
      </c>
      <c r="C13" s="7" t="s">
        <v>45</v>
      </c>
      <c r="D13" s="387" t="s">
        <v>46</v>
      </c>
      <c r="E13" s="191">
        <v>0.8</v>
      </c>
      <c r="F13" s="303" t="s">
        <v>30</v>
      </c>
      <c r="G13" s="304"/>
      <c r="H13" s="305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209"/>
      <c r="T13" s="209" t="s">
        <v>30</v>
      </c>
      <c r="U13" s="209" t="s">
        <v>30</v>
      </c>
      <c r="V13" s="174" t="s">
        <v>30</v>
      </c>
      <c r="W13" s="120"/>
      <c r="X13" s="120"/>
    </row>
    <row r="14" spans="1:24" s="3" customFormat="1" ht="18" customHeight="1">
      <c r="A14" s="120"/>
      <c r="B14" s="385"/>
      <c r="C14" s="7" t="s">
        <v>53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172"/>
      <c r="T14" s="172" t="s">
        <v>30</v>
      </c>
      <c r="U14" s="172" t="s">
        <v>30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54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210" t="s">
        <v>30</v>
      </c>
      <c r="T15" s="173" t="s">
        <v>30</v>
      </c>
      <c r="U15" s="173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211" t="s">
        <v>75</v>
      </c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8"/>
      <c r="X20" s="118"/>
    </row>
    <row r="21" spans="1:24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8"/>
      <c r="X21" s="118"/>
    </row>
    <row r="23" spans="1:24">
      <c r="G23" s="91"/>
    </row>
    <row r="25" spans="1:24">
      <c r="D25" s="18"/>
    </row>
    <row r="26" spans="1:24">
      <c r="D26" s="18"/>
      <c r="F26" s="94"/>
    </row>
    <row r="27" spans="1:24">
      <c r="D27" s="90"/>
    </row>
  </sheetData>
  <mergeCells count="16">
    <mergeCell ref="A18:B18"/>
    <mergeCell ref="A19:B19"/>
    <mergeCell ref="A20:B20"/>
    <mergeCell ref="A21:B21"/>
    <mergeCell ref="A1:B1"/>
    <mergeCell ref="A16:B16"/>
    <mergeCell ref="A17:B17"/>
    <mergeCell ref="B13:B15"/>
    <mergeCell ref="D13:D15"/>
    <mergeCell ref="B2:V2"/>
    <mergeCell ref="B5:B10"/>
    <mergeCell ref="D5:D6"/>
    <mergeCell ref="D7:D8"/>
    <mergeCell ref="D9:D10"/>
    <mergeCell ref="B11:B12"/>
    <mergeCell ref="D11:D12"/>
  </mergeCells>
  <conditionalFormatting sqref="F4:R4">
    <cfRule type="cellIs" dxfId="230" priority="13" stopIfTrue="1" operator="between">
      <formula>0.22</formula>
      <formula>0.32</formula>
    </cfRule>
    <cfRule type="cellIs" dxfId="229" priority="16" stopIfTrue="1" operator="notBetween">
      <formula>0.22</formula>
      <formula>0.32</formula>
    </cfRule>
  </conditionalFormatting>
  <conditionalFormatting sqref="F4:R15">
    <cfRule type="beginsWith" dxfId="228" priority="1" stopIfTrue="1" operator="beginsWith" text="NA">
      <formula>LEFT(F4,LEN("NA"))="NA"</formula>
    </cfRule>
    <cfRule type="containsBlanks" dxfId="227" priority="2" stopIfTrue="1">
      <formula>LEN(TRIM(F4))=0</formula>
    </cfRule>
  </conditionalFormatting>
  <conditionalFormatting sqref="F5:R10">
    <cfRule type="cellIs" dxfId="226" priority="14" stopIfTrue="1" operator="greaterThan">
      <formula>$E5</formula>
    </cfRule>
    <cfRule type="cellIs" dxfId="225" priority="15" stopIfTrue="1" operator="lessThan">
      <formula>$E5</formula>
    </cfRule>
  </conditionalFormatting>
  <conditionalFormatting sqref="F11:R12">
    <cfRule type="cellIs" dxfId="224" priority="9" stopIfTrue="1" operator="lessThan">
      <formula>$E11</formula>
    </cfRule>
    <cfRule type="cellIs" dxfId="223" priority="10" stopIfTrue="1" operator="greaterThan">
      <formula>$E11</formula>
    </cfRule>
  </conditionalFormatting>
  <conditionalFormatting sqref="F13:R14">
    <cfRule type="cellIs" dxfId="222" priority="5" stopIfTrue="1" operator="greaterThan">
      <formula>$E13</formula>
    </cfRule>
    <cfRule type="cellIs" dxfId="221" priority="6" stopIfTrue="1" operator="lessThan">
      <formula>$E13</formula>
    </cfRule>
  </conditionalFormatting>
  <conditionalFormatting sqref="F15:R15">
    <cfRule type="cellIs" dxfId="220" priority="3" stopIfTrue="1" operator="lessThan">
      <formula>$E$16</formula>
    </cfRule>
    <cfRule type="cellIs" dxfId="219" priority="4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4251-4E8D-BF44-8A8A-837C25CFE48B}">
  <sheetPr codeName="Sheet8"/>
  <dimension ref="A1:X27"/>
  <sheetViews>
    <sheetView showGridLines="0" zoomScale="81" zoomScaleNormal="10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7.33203125" customWidth="1"/>
    <col min="4" max="4" width="12" bestFit="1" customWidth="1"/>
    <col min="5" max="5" width="9" bestFit="1" customWidth="1"/>
    <col min="6" max="8" width="8.5" style="2" bestFit="1" customWidth="1"/>
    <col min="9" max="9" width="8.6640625" style="2" bestFit="1" customWidth="1"/>
    <col min="10" max="10" width="8.5" style="2" bestFit="1" customWidth="1"/>
    <col min="11" max="11" width="8.1640625" style="2" bestFit="1" customWidth="1"/>
    <col min="12" max="12" width="10.83203125" style="2" customWidth="1"/>
    <col min="13" max="13" width="8.1640625" style="2" bestFit="1" customWidth="1"/>
    <col min="14" max="15" width="8" style="2" bestFit="1" customWidth="1"/>
    <col min="16" max="16" width="7.5" style="2" bestFit="1" customWidth="1"/>
    <col min="17" max="17" width="7.33203125" style="2" bestFit="1" customWidth="1"/>
    <col min="18" max="18" width="8.5" style="2" customWidth="1"/>
    <col min="19" max="19" width="7.33203125" style="2" customWidth="1"/>
    <col min="20" max="20" width="8.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13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Database!$N:$N,"*" &amp; $X$1 &amp; "*", Database!$L:$L, MONTH(F$3)) / SUMIFS(Database!$P:$P, Database!$N:$N,"*" &amp; $X$1 &amp; "*", Database!$L:$L, MONTH(F$3)), "")</f>
        <v>0.24037611870636669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0.24037611870636669</v>
      </c>
      <c r="S4" s="136"/>
      <c r="T4" s="137">
        <v>0.26</v>
      </c>
      <c r="U4" s="137">
        <v>0.28999999999999998</v>
      </c>
      <c r="V4" s="137">
        <v>0.3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142">
        <v>1</v>
      </c>
      <c r="T5" s="175">
        <v>1</v>
      </c>
      <c r="U5" s="175">
        <v>0.7</v>
      </c>
      <c r="V5" s="175">
        <v>0.91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"")</f>
        <v>1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1</v>
      </c>
      <c r="S6" s="148"/>
      <c r="T6" s="149">
        <v>0.88</v>
      </c>
      <c r="U6" s="149">
        <v>0.85</v>
      </c>
      <c r="V6" s="149">
        <v>0.73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0.85</v>
      </c>
      <c r="U7" s="156">
        <v>0.86</v>
      </c>
      <c r="V7" s="156">
        <v>0.46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148"/>
      <c r="T8" s="158">
        <v>0.69</v>
      </c>
      <c r="U8" s="158">
        <v>0.37</v>
      </c>
      <c r="V8" s="158">
        <v>0.56000000000000005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422" t="s">
        <v>39</v>
      </c>
      <c r="E9" s="191">
        <v>0.3</v>
      </c>
      <c r="F9" s="267">
        <f>_xlfn.XLOOKUP($X$1, Database!$AG$4:$AG$19, Database!AI$4:AI$19)</f>
        <v>0.27700000000000002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0.27700000000000002</v>
      </c>
      <c r="S9" s="162"/>
      <c r="T9" s="149">
        <v>0.28999999999999998</v>
      </c>
      <c r="U9" s="149">
        <v>0.85</v>
      </c>
      <c r="V9" s="149">
        <v>0.28999999999999998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91">
        <v>0.45</v>
      </c>
      <c r="F10" s="267">
        <f>_xlfn.XLOOKUP($X$1, Database!$AG$29:$AG$44,Database!AI$29:AI$44)</f>
        <v>0.23899999999999999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>
        <f>IFERROR(_xlfn.XLOOKUP($X$1, Database!$AG$29:$AG$44,Database!AH$29:AH$44),"NA")</f>
        <v>0.23899999999999999</v>
      </c>
      <c r="S10" s="162"/>
      <c r="T10" s="149">
        <v>0.57999999999999996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96" t="s">
        <v>42</v>
      </c>
      <c r="D11" s="423" t="s">
        <v>51</v>
      </c>
      <c r="E11" s="208">
        <v>20.079999999999998</v>
      </c>
      <c r="F11" s="287">
        <f>IF(SUMIFS(Database!$Z:$Z,Database!$Y:$Y,$X$1,Database!$W:$W,MONTH(F$3))=0, "", SUMIFS(Database!$Z:$Z,Database!$Y:$Y,$X$1,Database!$W:$W,MONTH(F$3)))</f>
        <v>27.758835619999999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27.758835618556699</v>
      </c>
      <c r="S11" s="195"/>
      <c r="T11" s="196">
        <v>27.14</v>
      </c>
      <c r="U11" s="196">
        <v>50.72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399"/>
      <c r="C12" s="353" t="s">
        <v>43</v>
      </c>
      <c r="D12" s="424"/>
      <c r="E12" s="360">
        <v>1.75</v>
      </c>
      <c r="F12" s="341">
        <f>IF(SUMIFS(Database!$AA:$AA,Database!$Y:$Y,$X$1,Database!$W:$W,MONTH(F$3))=0, "", SUMIFS(Database!$AA:$AA,Database!$Y:$Y,$X$1,Database!$W:$W,MONTH(F$3)))</f>
        <v>3.8268283680000001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>
        <f>IFERROR(SUMIFS(Database!$AC:$AC, Database!$Y:$Y, $X$1) / SUMIFS(Database!$AB:$AB, Database!$Y:$Y, $X$1), "")</f>
        <v>3.8268283677402875</v>
      </c>
      <c r="S12" s="222"/>
      <c r="T12" s="354">
        <v>2.08</v>
      </c>
      <c r="U12" s="354">
        <v>2.71</v>
      </c>
      <c r="V12" s="358" t="s">
        <v>30</v>
      </c>
      <c r="W12" s="138"/>
      <c r="X12" s="138"/>
    </row>
    <row r="13" spans="1:24" s="3" customFormat="1" ht="18" customHeight="1">
      <c r="A13" s="120"/>
      <c r="B13" s="384" t="s">
        <v>44</v>
      </c>
      <c r="C13" s="7" t="s">
        <v>45</v>
      </c>
      <c r="D13" s="388" t="s">
        <v>46</v>
      </c>
      <c r="E13" s="191">
        <v>0.8</v>
      </c>
      <c r="F13" s="307">
        <v>1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>
        <v>1</v>
      </c>
      <c r="S13" s="162"/>
      <c r="T13" s="149">
        <v>0.89</v>
      </c>
      <c r="U13" s="149">
        <v>0.64</v>
      </c>
      <c r="V13" s="149">
        <v>0.24</v>
      </c>
      <c r="W13" s="120"/>
      <c r="X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>
        <v>1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>
        <v>1</v>
      </c>
      <c r="S14" s="202">
        <v>0.69</v>
      </c>
      <c r="T14" s="149">
        <v>0.69</v>
      </c>
      <c r="U14" s="149">
        <v>0.9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256">
        <v>0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8"/>
      <c r="X20" s="118"/>
    </row>
    <row r="21" spans="1:24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8"/>
      <c r="X21" s="118"/>
    </row>
    <row r="22" spans="1:24">
      <c r="A22" s="383"/>
      <c r="B22" s="383"/>
      <c r="C22" s="118"/>
      <c r="D22" s="118"/>
      <c r="E22" s="118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8"/>
      <c r="X22" s="118"/>
    </row>
    <row r="23" spans="1:24">
      <c r="A23" s="383"/>
      <c r="B23" s="383"/>
      <c r="C23" s="118"/>
      <c r="D23" s="11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8"/>
      <c r="X23" s="118"/>
    </row>
    <row r="24" spans="1:24">
      <c r="A24" s="383"/>
      <c r="B24" s="383"/>
      <c r="C24" s="118"/>
      <c r="D24" s="118"/>
      <c r="E24" s="118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8"/>
      <c r="X24" s="118"/>
    </row>
    <row r="25" spans="1:24">
      <c r="D25" s="18"/>
    </row>
    <row r="26" spans="1:24">
      <c r="D26" s="18"/>
      <c r="F26" s="94"/>
    </row>
    <row r="27" spans="1:24">
      <c r="D27" s="90"/>
    </row>
  </sheetData>
  <mergeCells count="19">
    <mergeCell ref="A22:B22"/>
    <mergeCell ref="A23:B23"/>
    <mergeCell ref="A24:B24"/>
    <mergeCell ref="A17:B17"/>
    <mergeCell ref="A18:B18"/>
    <mergeCell ref="A19:B19"/>
    <mergeCell ref="A20:B20"/>
    <mergeCell ref="A21:B21"/>
    <mergeCell ref="A1:B1"/>
    <mergeCell ref="A16:B16"/>
    <mergeCell ref="B13:B15"/>
    <mergeCell ref="D13:D15"/>
    <mergeCell ref="B2:V2"/>
    <mergeCell ref="B5:B10"/>
    <mergeCell ref="D5:D6"/>
    <mergeCell ref="D7:D8"/>
    <mergeCell ref="D9:D10"/>
    <mergeCell ref="B11:B12"/>
    <mergeCell ref="D11:D12"/>
  </mergeCells>
  <conditionalFormatting sqref="F4:R4">
    <cfRule type="cellIs" dxfId="218" priority="9" stopIfTrue="1" operator="between">
      <formula>0.22</formula>
      <formula>0.32</formula>
    </cfRule>
    <cfRule type="cellIs" dxfId="217" priority="12" stopIfTrue="1" operator="notBetween">
      <formula>0.22</formula>
      <formula>0.32</formula>
    </cfRule>
  </conditionalFormatting>
  <conditionalFormatting sqref="F4:R15">
    <cfRule type="beginsWith" dxfId="216" priority="1" stopIfTrue="1" operator="beginsWith" text="NA">
      <formula>LEFT(F4,LEN("NA"))="NA"</formula>
    </cfRule>
    <cfRule type="containsBlanks" dxfId="215" priority="2" stopIfTrue="1">
      <formula>LEN(TRIM(F4))=0</formula>
    </cfRule>
  </conditionalFormatting>
  <conditionalFormatting sqref="F5:R10">
    <cfRule type="cellIs" dxfId="214" priority="10" stopIfTrue="1" operator="greaterThan">
      <formula>$E5</formula>
    </cfRule>
    <cfRule type="cellIs" dxfId="213" priority="11" stopIfTrue="1" operator="lessThan">
      <formula>$E5</formula>
    </cfRule>
  </conditionalFormatting>
  <conditionalFormatting sqref="F11:R12">
    <cfRule type="cellIs" dxfId="212" priority="7" stopIfTrue="1" operator="lessThan">
      <formula>$E11</formula>
    </cfRule>
    <cfRule type="cellIs" dxfId="211" priority="8" stopIfTrue="1" operator="greaterThan">
      <formula>$E11</formula>
    </cfRule>
  </conditionalFormatting>
  <conditionalFormatting sqref="F13:R14">
    <cfRule type="cellIs" dxfId="210" priority="5" stopIfTrue="1" operator="greaterThan">
      <formula>$E13</formula>
    </cfRule>
    <cfRule type="cellIs" dxfId="209" priority="6" stopIfTrue="1" operator="lessThan">
      <formula>$E13</formula>
    </cfRule>
  </conditionalFormatting>
  <conditionalFormatting sqref="F15:R15">
    <cfRule type="cellIs" dxfId="208" priority="3" stopIfTrue="1" operator="lessThan">
      <formula>$E$15</formula>
    </cfRule>
    <cfRule type="cellIs" dxfId="207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7B28-4684-EF46-A247-53F4DDB9399F}">
  <sheetPr codeName="Sheet9"/>
  <dimension ref="A1:X27"/>
  <sheetViews>
    <sheetView showGridLines="0" zoomScale="90" zoomScaleNormal="9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7.5" customWidth="1"/>
    <col min="4" max="4" width="12" bestFit="1" customWidth="1"/>
    <col min="5" max="5" width="9.6640625" customWidth="1"/>
    <col min="6" max="8" width="8.5" style="2" bestFit="1" customWidth="1"/>
    <col min="9" max="9" width="8.6640625" style="2" bestFit="1" customWidth="1"/>
    <col min="10" max="10" width="8.5" style="2" bestFit="1" customWidth="1"/>
    <col min="11" max="11" width="7.6640625" style="2" bestFit="1" customWidth="1"/>
    <col min="12" max="12" width="9.1640625" style="2" customWidth="1"/>
    <col min="13" max="13" width="8.5" style="2" customWidth="1"/>
    <col min="14" max="14" width="7.5" style="2" bestFit="1" customWidth="1"/>
    <col min="15" max="15" width="8.5" style="2" customWidth="1"/>
    <col min="16" max="16" width="8.33203125" style="2" customWidth="1"/>
    <col min="17" max="17" width="9.83203125" style="2" customWidth="1"/>
    <col min="18" max="18" width="8.6640625" style="2" bestFit="1" customWidth="1"/>
    <col min="19" max="20" width="8.164062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14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Database!$N:$N,"*" &amp; $X$1 &amp; "*", Database!$L:$L, MONTH(F$3)) / SUMIFS(Database!$P:$P, Database!$N:$N,"*" &amp; $X$1 &amp; "*", Database!$L:$L, MONTH(F$3)), "")</f>
        <v>0.21410560766986911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0.21410560766986911</v>
      </c>
      <c r="S4" s="136"/>
      <c r="T4" s="137">
        <v>0.27</v>
      </c>
      <c r="U4" s="137">
        <v>0.26</v>
      </c>
      <c r="V4" s="137">
        <v>0.32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142">
        <v>1</v>
      </c>
      <c r="T5" s="175">
        <v>1</v>
      </c>
      <c r="U5" s="175">
        <v>0.77</v>
      </c>
      <c r="V5" s="175">
        <v>1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"")</f>
        <v>1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1</v>
      </c>
      <c r="S6" s="148"/>
      <c r="T6" s="149">
        <v>0.77</v>
      </c>
      <c r="U6" s="149">
        <v>0.7</v>
      </c>
      <c r="V6" s="149">
        <v>0.66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0.77</v>
      </c>
      <c r="U7" s="156">
        <v>0.86</v>
      </c>
      <c r="V7" s="156">
        <v>0.46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148"/>
      <c r="T8" s="158">
        <v>0.69</v>
      </c>
      <c r="U8" s="158">
        <v>0.48</v>
      </c>
      <c r="V8" s="158">
        <v>0.64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422" t="s">
        <v>39</v>
      </c>
      <c r="E9" s="191">
        <v>0.3</v>
      </c>
      <c r="F9" s="267">
        <f>_xlfn.XLOOKUP($X$1, Database!$AG$4:$AG$19, Database!AI$4:AI$19)</f>
        <v>0.26600000000000001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0.26600000000000001</v>
      </c>
      <c r="S9" s="162"/>
      <c r="T9" s="149">
        <v>0.3</v>
      </c>
      <c r="U9" s="149">
        <v>0.33</v>
      </c>
      <c r="V9" s="149">
        <v>0.17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91">
        <v>0.45</v>
      </c>
      <c r="F10" s="267">
        <f>_xlfn.XLOOKUP($X$1, Database!$AG$29:$AG$44,Database!AI$29:AI$44)</f>
        <v>0.56499999999999995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>
        <f>IFERROR(_xlfn.XLOOKUP($X$1, Database!$AG$29:$AG$44,Database!AH$29:AH$44),"NA")</f>
        <v>0.56499999999999995</v>
      </c>
      <c r="S10" s="162"/>
      <c r="T10" s="149">
        <v>0.52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96" t="s">
        <v>42</v>
      </c>
      <c r="D11" s="420" t="s">
        <v>51</v>
      </c>
      <c r="E11" s="208">
        <v>20.079999999999998</v>
      </c>
      <c r="F11" s="287">
        <f>IF(SUMIFS(Database!$Z:$Z,Database!$Y:$Y,$X$1,Database!$W:$W,MONTH(F$3))=0, "", SUMIFS(Database!$Z:$Z,Database!$Y:$Y,$X$1,Database!$W:$W,MONTH(F$3)))</f>
        <v>36.067414560000003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36.067414559659092</v>
      </c>
      <c r="S11" s="195"/>
      <c r="T11" s="196">
        <v>27.34</v>
      </c>
      <c r="U11" s="196">
        <v>38.31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399"/>
      <c r="C12" s="1" t="s">
        <v>43</v>
      </c>
      <c r="D12" s="416"/>
      <c r="E12" s="360">
        <v>1.75</v>
      </c>
      <c r="F12" s="341">
        <f>IF(SUMIFS(Database!$AA:$AA,Database!$Y:$Y,$X$1,Database!$W:$W,MONTH(F$3))=0, "", SUMIFS(Database!$AA:$AA,Database!$Y:$Y,$X$1,Database!$W:$W,MONTH(F$3)))</f>
        <v>3.8181057260000002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>
        <f>IFERROR(SUMIFS(Database!$AC:$AC, Database!$Y:$Y, $X$1) / SUMIFS(Database!$AB:$AB, Database!$Y:$Y, $X$1), "")</f>
        <v>3.8181057258312263</v>
      </c>
      <c r="S12" s="222"/>
      <c r="T12" s="354">
        <v>1.95</v>
      </c>
      <c r="U12" s="354">
        <v>3.06</v>
      </c>
      <c r="V12" s="358" t="s">
        <v>30</v>
      </c>
      <c r="W12" s="138"/>
      <c r="X12" s="138"/>
    </row>
    <row r="13" spans="1:24" s="3" customFormat="1" ht="18" customHeight="1">
      <c r="A13" s="120"/>
      <c r="B13" s="385" t="s">
        <v>44</v>
      </c>
      <c r="C13" s="7" t="s">
        <v>45</v>
      </c>
      <c r="D13" s="388" t="s">
        <v>46</v>
      </c>
      <c r="E13" s="191">
        <v>0.8</v>
      </c>
      <c r="F13" s="307" t="s">
        <v>30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162"/>
      <c r="T13" s="149">
        <v>1</v>
      </c>
      <c r="U13" s="149">
        <v>0.64</v>
      </c>
      <c r="V13" s="174" t="s">
        <v>30</v>
      </c>
      <c r="W13" s="120"/>
      <c r="X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176">
        <v>0.82</v>
      </c>
      <c r="T14" s="149" t="s">
        <v>30</v>
      </c>
      <c r="U14" s="149">
        <v>0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54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324">
        <v>3.6999999999999998E-2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8"/>
      <c r="X20" s="118"/>
    </row>
    <row r="21" spans="1:24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8"/>
      <c r="X21" s="118"/>
    </row>
    <row r="22" spans="1:24">
      <c r="A22" s="383"/>
      <c r="B22" s="383"/>
      <c r="C22" s="118"/>
      <c r="D22" s="118"/>
      <c r="E22" s="118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8"/>
      <c r="X22" s="118"/>
    </row>
    <row r="23" spans="1:24">
      <c r="A23" s="383"/>
      <c r="B23" s="383"/>
      <c r="C23" s="118"/>
      <c r="D23" s="11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8"/>
      <c r="X23" s="118"/>
    </row>
    <row r="24" spans="1:24">
      <c r="A24" s="383"/>
      <c r="B24" s="383"/>
      <c r="C24" s="118"/>
      <c r="D24" s="118"/>
      <c r="E24" s="118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8"/>
      <c r="X24" s="118"/>
    </row>
    <row r="25" spans="1:24">
      <c r="A25" s="383"/>
      <c r="B25" s="383"/>
      <c r="C25" s="118"/>
      <c r="D25" s="138"/>
      <c r="E25" s="118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8"/>
      <c r="X25" s="118"/>
    </row>
    <row r="26" spans="1:24">
      <c r="D26" s="18"/>
      <c r="F26" s="94"/>
    </row>
    <row r="27" spans="1:24">
      <c r="D27" s="90"/>
    </row>
  </sheetData>
  <mergeCells count="20">
    <mergeCell ref="A25:B25"/>
    <mergeCell ref="A20:B20"/>
    <mergeCell ref="A21:B21"/>
    <mergeCell ref="A22:B22"/>
    <mergeCell ref="A23:B23"/>
    <mergeCell ref="A24:B24"/>
    <mergeCell ref="D13:D15"/>
    <mergeCell ref="B2:V2"/>
    <mergeCell ref="B5:B10"/>
    <mergeCell ref="D5:D6"/>
    <mergeCell ref="D7:D8"/>
    <mergeCell ref="D9:D10"/>
    <mergeCell ref="B11:B12"/>
    <mergeCell ref="D11:D12"/>
    <mergeCell ref="A1:B1"/>
    <mergeCell ref="A16:B16"/>
    <mergeCell ref="A17:B17"/>
    <mergeCell ref="A18:B18"/>
    <mergeCell ref="A19:B19"/>
    <mergeCell ref="B13:B15"/>
  </mergeCells>
  <conditionalFormatting sqref="F4:R4">
    <cfRule type="cellIs" dxfId="206" priority="9" stopIfTrue="1" operator="between">
      <formula>0.22</formula>
      <formula>0.32</formula>
    </cfRule>
    <cfRule type="cellIs" dxfId="205" priority="12" stopIfTrue="1" operator="notBetween">
      <formula>0.22</formula>
      <formula>0.32</formula>
    </cfRule>
  </conditionalFormatting>
  <conditionalFormatting sqref="F4:R15">
    <cfRule type="beginsWith" dxfId="204" priority="1" stopIfTrue="1" operator="beginsWith" text="NA">
      <formula>LEFT(F4,LEN("NA"))="NA"</formula>
    </cfRule>
    <cfRule type="containsBlanks" dxfId="203" priority="2" stopIfTrue="1">
      <formula>LEN(TRIM(F4))=0</formula>
    </cfRule>
  </conditionalFormatting>
  <conditionalFormatting sqref="F5:R10">
    <cfRule type="cellIs" dxfId="202" priority="10" stopIfTrue="1" operator="greaterThan">
      <formula>$E5</formula>
    </cfRule>
    <cfRule type="cellIs" dxfId="201" priority="11" stopIfTrue="1" operator="lessThan">
      <formula>$E5</formula>
    </cfRule>
  </conditionalFormatting>
  <conditionalFormatting sqref="F11:R12">
    <cfRule type="cellIs" dxfId="200" priority="7" stopIfTrue="1" operator="lessThan">
      <formula>$E11</formula>
    </cfRule>
    <cfRule type="cellIs" dxfId="199" priority="8" stopIfTrue="1" operator="greaterThan">
      <formula>$E11</formula>
    </cfRule>
  </conditionalFormatting>
  <conditionalFormatting sqref="F13:R14">
    <cfRule type="cellIs" dxfId="198" priority="5" stopIfTrue="1" operator="greaterThan">
      <formula>$E13</formula>
    </cfRule>
    <cfRule type="cellIs" dxfId="197" priority="6" stopIfTrue="1" operator="lessThan">
      <formula>$E13</formula>
    </cfRule>
  </conditionalFormatting>
  <conditionalFormatting sqref="F15:R15">
    <cfRule type="cellIs" dxfId="196" priority="3" stopIfTrue="1" operator="lessThan">
      <formula>$E$15</formula>
    </cfRule>
    <cfRule type="cellIs" dxfId="195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1303-8742-064D-B419-E033CA6BA3EA}">
  <sheetPr codeName="Sheet17"/>
  <dimension ref="A1:X31"/>
  <sheetViews>
    <sheetView showGridLines="0" zoomScaleNormal="130" workbookViewId="0">
      <selection activeCell="E13" sqref="E13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4.1640625" bestFit="1" customWidth="1"/>
    <col min="4" max="4" width="12" bestFit="1" customWidth="1"/>
    <col min="5" max="5" width="9" bestFit="1" customWidth="1"/>
    <col min="6" max="7" width="7" style="2" bestFit="1" customWidth="1"/>
    <col min="8" max="8" width="7.33203125" style="2" bestFit="1" customWidth="1"/>
    <col min="9" max="9" width="7.1640625" style="2" bestFit="1" customWidth="1"/>
    <col min="10" max="10" width="7.6640625" style="2" bestFit="1" customWidth="1"/>
    <col min="11" max="11" width="6.5" style="2" bestFit="1" customWidth="1"/>
    <col min="12" max="12" width="9.33203125" style="2" customWidth="1"/>
    <col min="13" max="13" width="8.1640625" style="2" bestFit="1" customWidth="1"/>
    <col min="14" max="14" width="7.1640625" style="2" bestFit="1" customWidth="1"/>
    <col min="15" max="15" width="6.6640625" style="2" bestFit="1" customWidth="1"/>
    <col min="16" max="16" width="7.83203125" style="2" customWidth="1"/>
    <col min="17" max="17" width="7.1640625" style="2" customWidth="1"/>
    <col min="18" max="20" width="8.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21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12" t="s">
        <v>26</v>
      </c>
      <c r="C4" s="6" t="s">
        <v>27</v>
      </c>
      <c r="D4" s="132" t="s">
        <v>28</v>
      </c>
      <c r="E4" s="213" t="s">
        <v>29</v>
      </c>
      <c r="F4" s="257" t="str">
        <f>IFERROR(SUMIFS(Database!$O:$O, Database!$N:$N,"*" &amp; $X$1 &amp; "*", Database!$L:$L, MONTH(F$3)) / SUMIFS(Database!$P:$P, Database!$N:$N,"*" &amp; $X$1 &amp; "*", Database!$L:$L, MONTH(F$3)), "NA")</f>
        <v>NA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 t="str">
        <f>IFERROR(SUMIFS(Database!$O:$O, Database!$N:$N,"*"&amp; $X$1&amp;"*") / SUMIFS(Database!$P:$P, Database!$N:$N,"*"&amp; X1&amp;"*"), "NA")</f>
        <v>NA</v>
      </c>
      <c r="S4" s="189"/>
      <c r="T4" s="175">
        <v>0.25</v>
      </c>
      <c r="U4" s="175">
        <v>0.33</v>
      </c>
      <c r="V4" s="175">
        <v>0.37</v>
      </c>
    </row>
    <row r="5" spans="1:24" s="3" customFormat="1" ht="18" customHeight="1">
      <c r="A5" s="120"/>
      <c r="B5" s="425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14">
        <v>1</v>
      </c>
      <c r="T5" s="215">
        <v>1</v>
      </c>
      <c r="U5" s="215">
        <v>0.26</v>
      </c>
      <c r="V5" s="216">
        <v>1</v>
      </c>
    </row>
    <row r="6" spans="1:24" s="3" customFormat="1" ht="18" customHeight="1">
      <c r="A6" s="120"/>
      <c r="B6" s="426"/>
      <c r="C6" s="9" t="s">
        <v>34</v>
      </c>
      <c r="D6" s="396"/>
      <c r="E6" s="191">
        <v>0.8</v>
      </c>
      <c r="F6" s="264" t="str">
        <f>IFERROR(SUMIFS(Database!$H:$H, Database!$B:$B,"*" &amp; $X$1 &amp; "*", Database!$D:$D, MONTH(F$3)) / SUMIFS(Database!$G:$G, Database!$B:$B,"*" &amp; $X$1 &amp; "*", Database!$D:$D, MONTH(F$3)), "NA")</f>
        <v>NA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 t="str">
        <f>IFERROR(SUMIFS(Database!$H:$H, Database!$B:$B,"*"&amp; X1&amp;"*") / SUMIFS(Database!$G:$G, Database!$B:$B,"*"&amp; X1&amp;"*"), "NA")</f>
        <v>NA</v>
      </c>
      <c r="S6" s="148"/>
      <c r="T6" s="149">
        <v>0.93</v>
      </c>
      <c r="U6" s="149">
        <v>0.78</v>
      </c>
      <c r="V6" s="217">
        <v>0.59</v>
      </c>
    </row>
    <row r="7" spans="1:24" s="3" customFormat="1" ht="18" customHeight="1">
      <c r="A7" s="120"/>
      <c r="B7" s="426"/>
      <c r="C7" s="8" t="s">
        <v>35</v>
      </c>
      <c r="D7" s="397" t="s">
        <v>36</v>
      </c>
      <c r="E7" s="193">
        <v>0.8</v>
      </c>
      <c r="F7" s="369">
        <v>0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0</v>
      </c>
      <c r="S7" s="154"/>
      <c r="T7" s="156">
        <v>0.12</v>
      </c>
      <c r="U7" s="155" t="s">
        <v>30</v>
      </c>
      <c r="V7" s="218">
        <v>0.35</v>
      </c>
    </row>
    <row r="8" spans="1:24" s="3" customFormat="1" ht="18" customHeight="1">
      <c r="A8" s="120"/>
      <c r="B8" s="426"/>
      <c r="C8" s="9" t="s">
        <v>37</v>
      </c>
      <c r="D8" s="396"/>
      <c r="E8" s="194">
        <v>0.8</v>
      </c>
      <c r="F8" s="264">
        <v>0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</v>
      </c>
      <c r="S8" s="148"/>
      <c r="T8" s="158">
        <v>0.72</v>
      </c>
      <c r="U8" s="219" t="s">
        <v>30</v>
      </c>
      <c r="V8" s="220">
        <v>0.38</v>
      </c>
    </row>
    <row r="9" spans="1:24" s="3" customFormat="1" ht="18" customHeight="1">
      <c r="A9" s="120"/>
      <c r="B9" s="426"/>
      <c r="C9" s="7" t="s">
        <v>38</v>
      </c>
      <c r="D9" s="388" t="s">
        <v>39</v>
      </c>
      <c r="E9" s="191">
        <v>0.3</v>
      </c>
      <c r="F9" s="267" t="str">
        <f>IFERROR(_xlfn.XLOOKUP($X$1, Database!$AG$4:$AG$19, Database!AI$4:AI$19),"NA")</f>
        <v>NA</v>
      </c>
      <c r="G9" s="268" t="str">
        <f>IFERROR(_xlfn.XLOOKUP($X$1, Database!$AG$4:$AG$19, Database!AJ$4:AJ$19),"")</f>
        <v/>
      </c>
      <c r="H9" s="279" t="str">
        <f>IFERROR(_xlfn.XLOOKUP($X$1, Database!$AG$4:$AG$19, Database!AK$4:AK$19),"")</f>
        <v/>
      </c>
      <c r="I9" s="267" t="str">
        <f>IFERROR(_xlfn.XLOOKUP($X$1, Database!$AG$4:$AG$19, Database!AL$4:AL$19),"")</f>
        <v/>
      </c>
      <c r="J9" s="268" t="str">
        <f>IFERROR(_xlfn.XLOOKUP($X$1, Database!$AG$4:$AG$19, Database!AM$4:AM$19),"")</f>
        <v/>
      </c>
      <c r="K9" s="280" t="str">
        <f>IFERROR(_xlfn.XLOOKUP($X$1, Database!$AG$4:$AG$19, Database!AN$4:AN$19),"")</f>
        <v/>
      </c>
      <c r="L9" s="267" t="str">
        <f>IFERROR(_xlfn.XLOOKUP($X$1, Database!$AG$4:$AG$19, Database!AO$4:AO$19),"")</f>
        <v/>
      </c>
      <c r="M9" s="268" t="str">
        <f>IFERROR(_xlfn.XLOOKUP($X$1, Database!$AG$4:$AG$19, Database!AP$4:AP$19),"")</f>
        <v/>
      </c>
      <c r="N9" s="281" t="str">
        <f>IFERROR(_xlfn.XLOOKUP($X$1, Database!$AG$4:$AG$19, Database!AQ$4:AQ$19),"")</f>
        <v/>
      </c>
      <c r="O9" s="267" t="str">
        <f>IFERROR(_xlfn.XLOOKUP($X$1, Database!$AG$4:$AG$19, Database!AR$4:AR$19),"")</f>
        <v/>
      </c>
      <c r="P9" s="268" t="str">
        <f>IFERROR(_xlfn.XLOOKUP($X$1, Database!$AG$4:$AG$19, Database!AS$4:AS$19),"")</f>
        <v/>
      </c>
      <c r="Q9" s="281" t="str">
        <f>IFERROR(_xlfn.XLOOKUP($X$1, Database!$AG$4:$AG$19, Database!AT$4:AT$19),"")</f>
        <v/>
      </c>
      <c r="R9" s="279" t="str">
        <f>IFERROR(_xlfn.XLOOKUP($X$1, Database!$AG$4:$AG$19, Database!AH$4:AH$19),"NA")</f>
        <v>NA</v>
      </c>
      <c r="S9" s="162"/>
      <c r="T9" s="149" t="s">
        <v>30</v>
      </c>
      <c r="U9" s="149">
        <v>0.2</v>
      </c>
      <c r="V9" s="217">
        <v>0.41</v>
      </c>
    </row>
    <row r="10" spans="1:24" s="3" customFormat="1" ht="18" customHeight="1" thickBot="1">
      <c r="A10" s="120"/>
      <c r="B10" s="427"/>
      <c r="C10" s="97" t="s">
        <v>40</v>
      </c>
      <c r="D10" s="389"/>
      <c r="E10" s="163">
        <v>0.45</v>
      </c>
      <c r="F10" s="267" t="str">
        <f>IFERROR(_xlfn.XLOOKUP($X$1, Database!$AG$29:$AG$44,Database!AI$29:AI$44),"NA")</f>
        <v>NA</v>
      </c>
      <c r="G10" s="268" t="str">
        <f>IFERROR(_xlfn.XLOOKUP($X$1, Database!$AG$29:$AG$44,Database!AJ$29:AJ$44),"")</f>
        <v/>
      </c>
      <c r="H10" s="279" t="str">
        <f>IFERROR(_xlfn.XLOOKUP($X$1, Database!$AG$29:$AG$44,Database!AK$29:AK$44),"")</f>
        <v/>
      </c>
      <c r="I10" s="326" t="str">
        <f>IFERROR(_xlfn.XLOOKUP($X$1, Database!$AG$29:$AG$44,Database!AL$29:AL$44),"")</f>
        <v/>
      </c>
      <c r="J10" s="327" t="str">
        <f>IFERROR(_xlfn.XLOOKUP($X$1, Database!$AG$29:$AG$44,Database!AM$29:AM$44),"")</f>
        <v/>
      </c>
      <c r="K10" s="345" t="str">
        <f>IFERROR(_xlfn.XLOOKUP($X$1, Database!$AG$29:$AG$44,Database!AN$29:AN$44),"")</f>
        <v/>
      </c>
      <c r="L10" s="326" t="str">
        <f>IFERROR(_xlfn.XLOOKUP($X$1, Database!$AG$29:$AG$44,Database!AO$29:AO$44),"")</f>
        <v/>
      </c>
      <c r="M10" s="327" t="str">
        <f>IFERROR(_xlfn.XLOOKUP($X$1, Database!$AG$29:$AG$44,Database!AP$29:AP$44),"")</f>
        <v/>
      </c>
      <c r="N10" s="328" t="str">
        <f>IFERROR(_xlfn.XLOOKUP($X$1, Database!$AG$29:$AG$44,Database!AQ$29:AQ$44),"")</f>
        <v/>
      </c>
      <c r="O10" s="326" t="str">
        <f>IFERROR(_xlfn.XLOOKUP($X$1, Database!$AG$29:$AG$44,Database!AR$29:AR$44),"")</f>
        <v/>
      </c>
      <c r="P10" s="327" t="str">
        <f>IFERROR(_xlfn.XLOOKUP($X$1, Database!$AG$29:$AG$44,Database!AS$29:AS$44),"")</f>
        <v/>
      </c>
      <c r="Q10" s="328" t="str">
        <f>IFERROR(_xlfn.XLOOKUP($X$1, Database!$AG$29:$AG$44,Database!AT$29:AT$44),"")</f>
        <v/>
      </c>
      <c r="R10" s="329" t="str">
        <f>IFERROR(_xlfn.XLOOKUP($X$1, Database!$AG$29:$AG$44,Database!AH$29:AH$44),"NA")</f>
        <v>NA</v>
      </c>
      <c r="S10" s="199"/>
      <c r="T10" s="200" t="s">
        <v>30</v>
      </c>
      <c r="U10" s="200" t="s">
        <v>30</v>
      </c>
      <c r="V10" s="201" t="s">
        <v>30</v>
      </c>
    </row>
    <row r="11" spans="1:24" s="3" customFormat="1" ht="18" customHeight="1">
      <c r="A11" s="120"/>
      <c r="B11" s="385" t="s">
        <v>44</v>
      </c>
      <c r="C11" s="7" t="s">
        <v>45</v>
      </c>
      <c r="D11" s="387" t="s">
        <v>46</v>
      </c>
      <c r="E11" s="191">
        <v>0.8</v>
      </c>
      <c r="F11" s="303"/>
      <c r="G11" s="304"/>
      <c r="H11" s="305"/>
      <c r="I11" s="306"/>
      <c r="J11" s="268"/>
      <c r="K11" s="279"/>
      <c r="L11" s="306"/>
      <c r="M11" s="268"/>
      <c r="N11" s="279"/>
      <c r="O11" s="306"/>
      <c r="P11" s="268"/>
      <c r="Q11" s="282"/>
      <c r="R11" s="279"/>
      <c r="S11" s="174"/>
      <c r="T11" s="174" t="s">
        <v>30</v>
      </c>
      <c r="U11" s="174" t="s">
        <v>30</v>
      </c>
      <c r="V11" s="174" t="s">
        <v>30</v>
      </c>
    </row>
    <row r="12" spans="1:24" s="3" customFormat="1" ht="18" customHeight="1">
      <c r="A12" s="120"/>
      <c r="B12" s="385"/>
      <c r="C12" s="7" t="s">
        <v>53</v>
      </c>
      <c r="D12" s="388"/>
      <c r="E12" s="191">
        <v>0.9</v>
      </c>
      <c r="F12" s="307"/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/>
      <c r="S12" s="174"/>
      <c r="T12" s="174" t="s">
        <v>30</v>
      </c>
      <c r="U12" s="174" t="s">
        <v>30</v>
      </c>
      <c r="V12" s="174" t="s">
        <v>30</v>
      </c>
    </row>
    <row r="13" spans="1:24" s="3" customFormat="1" ht="18" customHeight="1" thickBot="1">
      <c r="A13" s="120"/>
      <c r="B13" s="386"/>
      <c r="C13" s="1" t="s">
        <v>54</v>
      </c>
      <c r="D13" s="389"/>
      <c r="E13" s="203">
        <v>0.05</v>
      </c>
      <c r="F13" s="310"/>
      <c r="G13" s="311"/>
      <c r="H13" s="312"/>
      <c r="I13" s="313"/>
      <c r="J13" s="314"/>
      <c r="K13" s="315"/>
      <c r="L13" s="313"/>
      <c r="M13" s="314"/>
      <c r="N13" s="315"/>
      <c r="O13" s="316"/>
      <c r="P13" s="314"/>
      <c r="Q13" s="317"/>
      <c r="R13" s="315"/>
      <c r="S13" s="165"/>
      <c r="T13" s="165" t="s">
        <v>30</v>
      </c>
      <c r="U13" s="165" t="s">
        <v>30</v>
      </c>
      <c r="V13" s="165" t="s">
        <v>30</v>
      </c>
    </row>
    <row r="14" spans="1:24">
      <c r="A14" s="383"/>
      <c r="B14" s="383"/>
      <c r="C14" s="118"/>
      <c r="D14" s="118"/>
      <c r="E14" s="118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</row>
    <row r="15" spans="1:24">
      <c r="A15" s="383"/>
      <c r="B15" s="383"/>
      <c r="C15" s="20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spans="1:22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2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D19" s="2"/>
    </row>
    <row r="20" spans="1:22">
      <c r="D20" s="2"/>
    </row>
    <row r="21" spans="1:22">
      <c r="D21" s="2"/>
      <c r="G21" s="91"/>
    </row>
    <row r="22" spans="1:22">
      <c r="D22" s="2"/>
    </row>
    <row r="23" spans="1:22">
      <c r="D23" s="2"/>
    </row>
    <row r="24" spans="1:22">
      <c r="D24" s="2"/>
      <c r="F24" s="94"/>
    </row>
    <row r="25" spans="1:22">
      <c r="D25" s="2"/>
    </row>
    <row r="26" spans="1:22">
      <c r="D26" s="2"/>
    </row>
    <row r="27" spans="1:22">
      <c r="D27" s="2"/>
    </row>
    <row r="28" spans="1:22">
      <c r="D28" s="2"/>
    </row>
    <row r="29" spans="1:22">
      <c r="D29" s="2"/>
    </row>
    <row r="30" spans="1:22">
      <c r="D30" s="2"/>
    </row>
    <row r="31" spans="1:22">
      <c r="D31" s="2"/>
    </row>
  </sheetData>
  <mergeCells count="13">
    <mergeCell ref="A17:B17"/>
    <mergeCell ref="A18:B18"/>
    <mergeCell ref="D11:D13"/>
    <mergeCell ref="B2:V2"/>
    <mergeCell ref="B5:B10"/>
    <mergeCell ref="D5:D6"/>
    <mergeCell ref="D7:D8"/>
    <mergeCell ref="D9:D10"/>
    <mergeCell ref="A1:B1"/>
    <mergeCell ref="A14:B14"/>
    <mergeCell ref="A15:B15"/>
    <mergeCell ref="A16:B16"/>
    <mergeCell ref="B11:B13"/>
  </mergeCells>
  <conditionalFormatting sqref="F4:R4">
    <cfRule type="cellIs" dxfId="194" priority="3" stopIfTrue="1" operator="between">
      <formula>0.22</formula>
      <formula>0.32</formula>
    </cfRule>
    <cfRule type="cellIs" dxfId="193" priority="6" stopIfTrue="1" operator="notBetween">
      <formula>0.22</formula>
      <formula>0.32</formula>
    </cfRule>
  </conditionalFormatting>
  <conditionalFormatting sqref="F4:R13">
    <cfRule type="beginsWith" dxfId="192" priority="1" stopIfTrue="1" operator="beginsWith" text="NA">
      <formula>LEFT(F4,LEN("NA"))="NA"</formula>
    </cfRule>
    <cfRule type="containsBlanks" dxfId="191" priority="2" stopIfTrue="1">
      <formula>LEN(TRIM(F4))=0</formula>
    </cfRule>
  </conditionalFormatting>
  <conditionalFormatting sqref="F5:R12">
    <cfRule type="cellIs" dxfId="190" priority="4" stopIfTrue="1" operator="greaterThan">
      <formula>$E5</formula>
    </cfRule>
    <cfRule type="cellIs" dxfId="189" priority="5" stopIfTrue="1" operator="lessThan">
      <formula>$E5</formula>
    </cfRule>
  </conditionalFormatting>
  <conditionalFormatting sqref="F13:R13">
    <cfRule type="cellIs" dxfId="188" priority="9" stopIfTrue="1" operator="lessThan">
      <formula>$E$16</formula>
    </cfRule>
    <cfRule type="cellIs" dxfId="187" priority="10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C0C1-7AD7-1B42-8437-CCE99E29FCEF}">
  <sheetPr codeName="Sheet13"/>
  <dimension ref="A1:X25"/>
  <sheetViews>
    <sheetView showGridLines="0" topLeftCell="B1" zoomScale="115" zoomScaleNormal="115" workbookViewId="0">
      <selection activeCell="E13" sqref="E13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7.6640625" customWidth="1"/>
    <col min="4" max="4" width="12" bestFit="1" customWidth="1"/>
    <col min="5" max="5" width="9" bestFit="1" customWidth="1"/>
    <col min="6" max="6" width="7.6640625" style="2" customWidth="1"/>
    <col min="7" max="7" width="8.6640625" style="2" bestFit="1" customWidth="1"/>
    <col min="8" max="8" width="8.5" style="2" customWidth="1"/>
    <col min="9" max="9" width="7.5" style="2" customWidth="1"/>
    <col min="10" max="10" width="8.6640625" style="2" bestFit="1" customWidth="1"/>
    <col min="11" max="11" width="9.6640625" style="2" customWidth="1"/>
    <col min="12" max="12" width="6.6640625" style="2" bestFit="1" customWidth="1"/>
    <col min="13" max="13" width="7.6640625" style="2" bestFit="1" customWidth="1"/>
    <col min="14" max="15" width="7.5" style="2" bestFit="1" customWidth="1"/>
    <col min="16" max="16" width="8" style="2" bestFit="1" customWidth="1"/>
    <col min="17" max="17" width="7.1640625" style="2" bestFit="1" customWidth="1"/>
    <col min="18" max="20" width="7.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103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12" t="s">
        <v>26</v>
      </c>
      <c r="C4" s="6" t="s">
        <v>27</v>
      </c>
      <c r="D4" s="132" t="s">
        <v>28</v>
      </c>
      <c r="E4" s="213" t="s">
        <v>29</v>
      </c>
      <c r="F4" s="257">
        <f>IFERROR(SUMIFS(Database!$O:$O, Database!$N:$N,"*" &amp; $X$1 &amp; "*", Database!$L:$L, MONTH(F$3)) / SUMIFS(Database!$P:$P, Database!$N:$N,"*" &amp; $X$1 &amp; "*", Database!$L:$L, MONTH(F$3)), "NA")</f>
        <v>0.23307192963804019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0.23307192963804019</v>
      </c>
      <c r="S4" s="136"/>
      <c r="T4" s="175">
        <v>0.11</v>
      </c>
      <c r="U4" s="175">
        <v>0.31</v>
      </c>
      <c r="V4" s="175">
        <v>0.33</v>
      </c>
    </row>
    <row r="5" spans="1:24" s="3" customFormat="1" ht="18" customHeight="1">
      <c r="A5" s="120"/>
      <c r="B5" s="425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142">
        <v>1</v>
      </c>
      <c r="T5" s="215">
        <v>1</v>
      </c>
      <c r="U5" s="215">
        <v>0.63</v>
      </c>
      <c r="V5" s="216">
        <v>0.73</v>
      </c>
    </row>
    <row r="6" spans="1:24" s="3" customFormat="1" ht="18" customHeight="1">
      <c r="A6" s="120"/>
      <c r="B6" s="426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"NA")</f>
        <v>1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1</v>
      </c>
      <c r="S6" s="148"/>
      <c r="T6" s="149">
        <v>0.7</v>
      </c>
      <c r="U6" s="149">
        <v>0.84</v>
      </c>
      <c r="V6" s="217">
        <v>0.76</v>
      </c>
    </row>
    <row r="7" spans="1:24" s="3" customFormat="1" ht="18" customHeight="1">
      <c r="A7" s="120"/>
      <c r="B7" s="426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0.81</v>
      </c>
      <c r="U7" s="156">
        <v>0.68</v>
      </c>
      <c r="V7" s="218">
        <v>0.79</v>
      </c>
    </row>
    <row r="8" spans="1:24" s="3" customFormat="1" ht="18" customHeight="1">
      <c r="A8" s="120"/>
      <c r="B8" s="426"/>
      <c r="C8" s="9" t="s">
        <v>37</v>
      </c>
      <c r="D8" s="396"/>
      <c r="E8" s="194">
        <v>0.8</v>
      </c>
      <c r="F8" s="264">
        <v>0.28999999999999998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0.28999999999999998</v>
      </c>
      <c r="S8" s="148"/>
      <c r="T8" s="158">
        <v>0.57999999999999996</v>
      </c>
      <c r="U8" s="158">
        <v>0.56000000000000005</v>
      </c>
      <c r="V8" s="220">
        <v>0.71</v>
      </c>
    </row>
    <row r="9" spans="1:24" s="3" customFormat="1" ht="18" customHeight="1">
      <c r="A9" s="120"/>
      <c r="B9" s="426"/>
      <c r="C9" s="7" t="s">
        <v>38</v>
      </c>
      <c r="D9" s="388" t="s">
        <v>39</v>
      </c>
      <c r="E9" s="191">
        <v>0.3</v>
      </c>
      <c r="F9" s="267" t="str">
        <f>IF(_xlfn.XLOOKUP("Guaraná", Database!$AG$4:$AG$19, Database!AI$4:AI$19)=0,"",_xlfn.XLOOKUP("Guaraná", Database!$AG$4:$AG$19, Database!AI$4:AI$19))</f>
        <v/>
      </c>
      <c r="G9" s="268" t="str">
        <f>IF(_xlfn.XLOOKUP("Guaraná", Database!$AG$4:$AG$19, Database!AJ$4:AJ$19)=0,"",_xlfn.XLOOKUP("Guaraná", Database!$AG$4:$AG$19, Database!AJ$4:AJ$19))</f>
        <v/>
      </c>
      <c r="H9" s="279" t="str">
        <f>IF(_xlfn.XLOOKUP("Guaraná", Database!$AG$4:$AG$19, Database!AK$4:AK$19)=0,"",_xlfn.XLOOKUP("Guaraná", Database!$AG$4:$AG$19, Database!AK$4:AK$19))</f>
        <v/>
      </c>
      <c r="I9" s="267" t="str">
        <f>IF(_xlfn.XLOOKUP("Guaraná", Database!$AG$4:$AG$19, Database!AL$4:AL$19)=0,"",_xlfn.XLOOKUP("Guaraná", Database!$AG$4:$AG$19, Database!AL$4:AL$19))</f>
        <v/>
      </c>
      <c r="J9" s="268" t="str">
        <f>IF(_xlfn.XLOOKUP("Guaraná", Database!$AG$4:$AG$19, Database!AM$4:AM$19)=0,"",_xlfn.XLOOKUP("Guaraná", Database!$AG$4:$AG$19, Database!AM$4:AM$19))</f>
        <v/>
      </c>
      <c r="K9" s="280" t="str">
        <f>IF(_xlfn.XLOOKUP("Guaraná", Database!$AG$4:$AG$19, Database!AN$4:AN$19)=0,"",_xlfn.XLOOKUP("Guaraná", Database!$AG$4:$AG$19, Database!AN$4:AN$19))</f>
        <v/>
      </c>
      <c r="L9" s="267" t="str">
        <f>IF(_xlfn.XLOOKUP("Guaraná", Database!$AG$4:$AG$19, Database!AO$4:AO$19)=0,"",_xlfn.XLOOKUP("Guaraná", Database!$AG$4:$AG$19, Database!AO$4:AO$19))</f>
        <v/>
      </c>
      <c r="M9" s="268" t="str">
        <f>IF(_xlfn.XLOOKUP("Guaraná", Database!$AG$4:$AG$19, Database!AP$4:AP$19)=0,"",_xlfn.XLOOKUP("Guaraná", Database!$AG$4:$AG$19, Database!AP$4:AP$19))</f>
        <v/>
      </c>
      <c r="N9" s="281" t="str">
        <f>IF(_xlfn.XLOOKUP("Guaraná", Database!$AG$4:$AG$19, Database!AQ$4:AQ$19)=0,"",_xlfn.XLOOKUP("Guaraná", Database!$AG$4:$AG$19, Database!AQ$4:AQ$19))</f>
        <v/>
      </c>
      <c r="O9" s="267" t="str">
        <f>IF(_xlfn.XLOOKUP("Guaraná", Database!$AG$4:$AG$19, Database!AR$4:AR$19)=0,"",_xlfn.XLOOKUP("Guaraná", Database!$AG$4:$AG$19, Database!AR$4:AR$19))</f>
        <v/>
      </c>
      <c r="P9" s="268" t="str">
        <f>IF(_xlfn.XLOOKUP("Guaraná", Database!$AG$4:$AG$19, Database!AS$4:AS$19)=0,"",_xlfn.XLOOKUP("Guaraná", Database!$AG$4:$AG$19, Database!AS$4:AS$19))</f>
        <v/>
      </c>
      <c r="Q9" s="281" t="str">
        <f>IF(_xlfn.XLOOKUP("Guaraná", Database!$AG$4:$AG$19, Database!AT$4:AT$19)=0,"",_xlfn.XLOOKUP("Guaraná", Database!$AG$4:$AG$19, Database!AT$4:AT$19))</f>
        <v/>
      </c>
      <c r="R9" s="279" t="str">
        <f>IF(_xlfn.XLOOKUP("Guaraná", Database!$AG$4:$AG$19, Database!AH$4:AH$19)=0,"",_xlfn.XLOOKUP("Guaraná", Database!$AG$4:$AG$19, Database!AH$4:AH$19))</f>
        <v>NA</v>
      </c>
      <c r="S9" s="162"/>
      <c r="T9" s="149">
        <v>0.14000000000000001</v>
      </c>
      <c r="U9" s="149">
        <v>0.28999999999999998</v>
      </c>
      <c r="V9" s="217">
        <v>0.36</v>
      </c>
    </row>
    <row r="10" spans="1:24" s="3" customFormat="1" ht="18" customHeight="1" thickBot="1">
      <c r="A10" s="120"/>
      <c r="B10" s="427"/>
      <c r="C10" s="97" t="s">
        <v>40</v>
      </c>
      <c r="D10" s="389"/>
      <c r="E10" s="203">
        <v>0.45</v>
      </c>
      <c r="F10" s="267" t="str">
        <f>IF(_xlfn.XLOOKUP("Guaraná", Database!$AG$29:$AG$44,Database!AI$29:AI$44)=0,"",_xlfn.XLOOKUP("Guaraná", Database!$AG$29:$AG$44,Database!AI$29:AI$44))</f>
        <v/>
      </c>
      <c r="G10" s="268" t="str">
        <f>IF(_xlfn.XLOOKUP("Guaraná", Database!$AG$29:$AG$44,Database!AJ$29:AJ$44)=0,"",_xlfn.XLOOKUP("Guaraná", Database!$AG$29:$AG$44,Database!AJ$29:AJ$44))</f>
        <v/>
      </c>
      <c r="H10" s="279" t="str">
        <f>IF(_xlfn.XLOOKUP("Guaraná", Database!$AG$29:$AG$44,Database!AK$29:AK$44)=0,"",_xlfn.XLOOKUP("Guaraná", Database!$AG$29:$AG$44,Database!AK$29:AK$44))</f>
        <v/>
      </c>
      <c r="I10" s="326" t="str">
        <f>IF(_xlfn.XLOOKUP("Guaraná", Database!$AG$29:$AG$44,Database!AL$29:AL$44)=0,"",_xlfn.XLOOKUP("Guaraná", Database!$AG$29:$AG$44,Database!AL$29:AL$44))</f>
        <v/>
      </c>
      <c r="J10" s="327" t="str">
        <f>IF(_xlfn.XLOOKUP("Guaraná", Database!$AG$29:$AG$44,Database!AM$29:AM$44)=0,"",_xlfn.XLOOKUP("Guaraná", Database!$AG$29:$AG$44,Database!AM$29:AM$44))</f>
        <v/>
      </c>
      <c r="K10" s="345" t="str">
        <f>IF(_xlfn.XLOOKUP("Guaraná", Database!$AG$29:$AG$44,Database!AN$29:AN$44)=0,"",_xlfn.XLOOKUP("Guaraná", Database!$AG$29:$AG$44,Database!AN$29:AN$44))</f>
        <v/>
      </c>
      <c r="L10" s="326" t="str">
        <f>IF(_xlfn.XLOOKUP("Guaraná", Database!$AG$29:$AG$44,Database!AO$29:AO$44)=0,"",_xlfn.XLOOKUP("Guaraná", Database!$AG$29:$AG$44,Database!AO$29:AO$44))</f>
        <v/>
      </c>
      <c r="M10" s="327" t="str">
        <f>IF(_xlfn.XLOOKUP("Guaraná", Database!$AG$29:$AG$44,Database!AP$29:AP$44)=0,"",_xlfn.XLOOKUP("Guaraná", Database!$AG$29:$AG$44,Database!AP$29:AP$44))</f>
        <v/>
      </c>
      <c r="N10" s="328" t="str">
        <f>IF(_xlfn.XLOOKUP("Guaraná", Database!$AG$29:$AG$44,Database!AQ$29:AQ$44)=0,"",_xlfn.XLOOKUP("Guaraná", Database!$AG$29:$AG$44,Database!AQ$29:AQ$44))</f>
        <v/>
      </c>
      <c r="O10" s="326" t="str">
        <f>IF(_xlfn.XLOOKUP("Guaraná", Database!$AG$29:$AG$44,Database!AR$29:AR$44)=0,"",_xlfn.XLOOKUP("Guaraná", Database!$AG$29:$AG$44,Database!AR$29:AR$44))</f>
        <v/>
      </c>
      <c r="P10" s="327" t="str">
        <f>IF(_xlfn.XLOOKUP("Guaraná", Database!$AG$29:$AG$44,Database!AS$29:AS$44)=0,"",_xlfn.XLOOKUP("Guaraná", Database!$AG$29:$AG$44,Database!AS$29:AS$44))</f>
        <v/>
      </c>
      <c r="Q10" s="328" t="str">
        <f>IF(_xlfn.XLOOKUP("Guaraná", Database!$AG$29:$AG$44,Database!AT$29:AT$44)=0,"",_xlfn.XLOOKUP("Guaraná", Database!$AG$29:$AG$44,Database!AT$29:AT$44))</f>
        <v/>
      </c>
      <c r="R10" s="329" t="str">
        <f>IFERROR(IF(_xlfn.XLOOKUP("Guaraná", Database!$AG$29:$AG$44,Database!AH$29:AH$44)=0,"",_xlfn.XLOOKUP("Guaraná", Database!$AG$29:$AG$44,Database!AH$29:AH$44)),"NA")</f>
        <v>NA</v>
      </c>
      <c r="S10" s="181"/>
      <c r="T10" s="325">
        <v>0.43</v>
      </c>
      <c r="U10" s="200" t="s">
        <v>30</v>
      </c>
      <c r="V10" s="201" t="s">
        <v>30</v>
      </c>
    </row>
    <row r="11" spans="1:24" s="3" customFormat="1" ht="18" customHeight="1">
      <c r="A11" s="120"/>
      <c r="B11" s="385" t="s">
        <v>44</v>
      </c>
      <c r="C11" s="7" t="s">
        <v>45</v>
      </c>
      <c r="D11" s="387" t="s">
        <v>46</v>
      </c>
      <c r="E11" s="191">
        <v>0.8</v>
      </c>
      <c r="F11" s="303">
        <v>1</v>
      </c>
      <c r="G11" s="304"/>
      <c r="H11" s="305"/>
      <c r="I11" s="306"/>
      <c r="J11" s="268"/>
      <c r="K11" s="279"/>
      <c r="L11" s="306"/>
      <c r="M11" s="268"/>
      <c r="N11" s="279"/>
      <c r="O11" s="306"/>
      <c r="P11" s="268"/>
      <c r="Q11" s="282"/>
      <c r="R11" s="279">
        <v>1</v>
      </c>
      <c r="S11" s="162"/>
      <c r="T11" s="149">
        <v>1</v>
      </c>
      <c r="U11" s="149">
        <v>0.71</v>
      </c>
      <c r="V11" s="149">
        <v>0.43</v>
      </c>
    </row>
    <row r="12" spans="1:24" s="3" customFormat="1" ht="18" customHeight="1">
      <c r="A12" s="120"/>
      <c r="B12" s="385"/>
      <c r="C12" s="7" t="s">
        <v>47</v>
      </c>
      <c r="D12" s="388"/>
      <c r="E12" s="191">
        <v>0.9</v>
      </c>
      <c r="F12" s="307">
        <v>1</v>
      </c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>
        <v>1</v>
      </c>
      <c r="S12" s="202">
        <v>0.51</v>
      </c>
      <c r="T12" s="149">
        <v>0.51</v>
      </c>
      <c r="U12" s="174" t="s">
        <v>30</v>
      </c>
      <c r="V12" s="174" t="s">
        <v>30</v>
      </c>
    </row>
    <row r="13" spans="1:24" s="3" customFormat="1" ht="18" customHeight="1" thickBot="1">
      <c r="A13" s="120"/>
      <c r="B13" s="386"/>
      <c r="C13" s="1" t="s">
        <v>48</v>
      </c>
      <c r="D13" s="389"/>
      <c r="E13" s="203">
        <v>0.05</v>
      </c>
      <c r="F13" s="352">
        <v>0.04</v>
      </c>
      <c r="G13" s="311"/>
      <c r="H13" s="312"/>
      <c r="I13" s="313"/>
      <c r="J13" s="314"/>
      <c r="K13" s="315"/>
      <c r="L13" s="313"/>
      <c r="M13" s="314"/>
      <c r="N13" s="315"/>
      <c r="O13" s="316"/>
      <c r="P13" s="314"/>
      <c r="Q13" s="317"/>
      <c r="R13" s="315">
        <v>0.04</v>
      </c>
      <c r="S13" s="181"/>
      <c r="T13" s="256">
        <v>0.04</v>
      </c>
      <c r="U13" s="165" t="s">
        <v>30</v>
      </c>
      <c r="V13" s="165" t="s">
        <v>30</v>
      </c>
    </row>
    <row r="14" spans="1:24">
      <c r="A14" s="383"/>
      <c r="B14" s="383"/>
      <c r="C14" s="118"/>
      <c r="D14" s="118"/>
      <c r="E14" s="118"/>
      <c r="F14" s="118"/>
      <c r="G14" s="118"/>
      <c r="H14" s="118"/>
      <c r="I14" s="118"/>
      <c r="J14" s="118"/>
      <c r="K14" s="118"/>
      <c r="L14" s="428"/>
      <c r="M14" s="428"/>
      <c r="N14" s="118"/>
      <c r="O14" s="118"/>
      <c r="P14" s="118"/>
      <c r="Q14" s="428"/>
      <c r="R14" s="428"/>
      <c r="S14" s="119"/>
      <c r="T14" s="119"/>
      <c r="U14" s="119"/>
      <c r="V14" s="119"/>
    </row>
    <row r="15" spans="1:24">
      <c r="A15" s="383"/>
      <c r="B15" s="383"/>
      <c r="C15" s="20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spans="1:22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 spans="1:22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</row>
    <row r="21" spans="1:22">
      <c r="G21" s="91"/>
    </row>
    <row r="23" spans="1:22">
      <c r="D23" s="18"/>
    </row>
    <row r="24" spans="1:22">
      <c r="D24" s="18"/>
      <c r="F24" s="94"/>
    </row>
    <row r="25" spans="1:22">
      <c r="D25" s="90"/>
    </row>
  </sheetData>
  <mergeCells count="17">
    <mergeCell ref="A1:B1"/>
    <mergeCell ref="A14:B14"/>
    <mergeCell ref="L14:M14"/>
    <mergeCell ref="Q14:R14"/>
    <mergeCell ref="A15:B15"/>
    <mergeCell ref="B11:B13"/>
    <mergeCell ref="D11:D13"/>
    <mergeCell ref="B2:V2"/>
    <mergeCell ref="B5:B10"/>
    <mergeCell ref="D5:D6"/>
    <mergeCell ref="D7:D8"/>
    <mergeCell ref="D9:D10"/>
    <mergeCell ref="A16:B16"/>
    <mergeCell ref="A17:B17"/>
    <mergeCell ref="A18:B18"/>
    <mergeCell ref="A19:B19"/>
    <mergeCell ref="A20:B20"/>
  </mergeCells>
  <conditionalFormatting sqref="F4:R4">
    <cfRule type="cellIs" dxfId="186" priority="7" stopIfTrue="1" operator="between">
      <formula>0.22</formula>
      <formula>0.32</formula>
    </cfRule>
    <cfRule type="cellIs" dxfId="185" priority="10" stopIfTrue="1" operator="notBetween">
      <formula>0.22</formula>
      <formula>0.32</formula>
    </cfRule>
  </conditionalFormatting>
  <conditionalFormatting sqref="F4:R13">
    <cfRule type="beginsWith" dxfId="184" priority="1" stopIfTrue="1" operator="beginsWith" text="NA">
      <formula>LEFT(F4,LEN("NA"))="NA"</formula>
    </cfRule>
    <cfRule type="containsBlanks" dxfId="183" priority="2" stopIfTrue="1">
      <formula>LEN(TRIM(F4))=0</formula>
    </cfRule>
  </conditionalFormatting>
  <conditionalFormatting sqref="F5:R12">
    <cfRule type="cellIs" dxfId="182" priority="8" stopIfTrue="1" operator="greaterThan">
      <formula>$E5</formula>
    </cfRule>
    <cfRule type="cellIs" dxfId="181" priority="9" stopIfTrue="1" operator="lessThan">
      <formula>$E5</formula>
    </cfRule>
  </conditionalFormatting>
  <conditionalFormatting sqref="F13:R13">
    <cfRule type="cellIs" dxfId="180" priority="3" operator="lessThan">
      <formula>$E$13</formula>
    </cfRule>
    <cfRule type="cellIs" dxfId="179" priority="4" operator="greaterThan">
      <formula>$E$13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957D-2B72-7A4E-9303-D024DD68D715}">
  <sheetPr codeName="Sheet19"/>
  <dimension ref="A1:X25"/>
  <sheetViews>
    <sheetView showGridLines="0" zoomScale="87" zoomScaleNormal="120" workbookViewId="0">
      <selection activeCell="E13" sqref="E13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4.1640625" bestFit="1" customWidth="1"/>
    <col min="4" max="4" width="12" bestFit="1" customWidth="1"/>
    <col min="5" max="5" width="9" bestFit="1" customWidth="1"/>
    <col min="6" max="7" width="7" style="2" bestFit="1" customWidth="1"/>
    <col min="8" max="8" width="7.33203125" style="2" bestFit="1" customWidth="1"/>
    <col min="9" max="9" width="7" style="2" bestFit="1" customWidth="1"/>
    <col min="10" max="10" width="7.1640625" style="2" bestFit="1" customWidth="1"/>
    <col min="11" max="11" width="6.5" style="2" bestFit="1" customWidth="1"/>
    <col min="12" max="12" width="7.83203125" style="2" customWidth="1"/>
    <col min="13" max="13" width="7" style="2" bestFit="1" customWidth="1"/>
    <col min="14" max="14" width="6.5" style="2" bestFit="1" customWidth="1"/>
    <col min="15" max="15" width="6.6640625" style="2" bestFit="1" customWidth="1"/>
    <col min="16" max="16" width="7.33203125" style="2" bestFit="1" customWidth="1"/>
    <col min="17" max="17" width="6.6640625" style="2" bestFit="1" customWidth="1"/>
    <col min="18" max="19" width="5.6640625" style="2" customWidth="1"/>
    <col min="20" max="20" width="7" style="2" customWidth="1"/>
    <col min="21" max="21" width="6.6640625" style="2" customWidth="1"/>
    <col min="22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104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12" t="s">
        <v>26</v>
      </c>
      <c r="C4" s="6" t="s">
        <v>27</v>
      </c>
      <c r="D4" s="132" t="s">
        <v>28</v>
      </c>
      <c r="E4" s="213" t="s">
        <v>29</v>
      </c>
      <c r="F4" s="257" t="str">
        <f>IFERROR(SUMIFS(Database!$O:$O, Database!$N:$N,"*" &amp; $X$1 &amp; "*", Database!$L:$L, MONTH(F$3)) / SUMIFS(Database!$P:$P, Database!$N:$N,"*" &amp; $X$1 &amp; "*", Database!$L:$L, MONTH(F$3)), "NA")</f>
        <v>NA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 t="str">
        <f>IFERROR(SUMIFS(Database!$O:$O, Database!$N:$N,"*"&amp; $X$1&amp;"*") / SUMIFS(Database!$P:$P, Database!$N:$N,"*"&amp; X1&amp;"*"), "NA")</f>
        <v>NA</v>
      </c>
      <c r="S4" s="189"/>
      <c r="T4" s="175">
        <v>0.31</v>
      </c>
      <c r="U4" s="175">
        <v>0.32</v>
      </c>
      <c r="V4" s="175">
        <v>0.33</v>
      </c>
    </row>
    <row r="5" spans="1:24" s="3" customFormat="1" ht="18" customHeight="1">
      <c r="A5" s="120"/>
      <c r="B5" s="425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14">
        <v>1</v>
      </c>
      <c r="T5" s="215">
        <v>1</v>
      </c>
      <c r="U5" s="215">
        <v>0.57999999999999996</v>
      </c>
      <c r="V5" s="216">
        <v>1</v>
      </c>
    </row>
    <row r="6" spans="1:24" s="3" customFormat="1" ht="18" customHeight="1">
      <c r="A6" s="120"/>
      <c r="B6" s="426"/>
      <c r="C6" s="9" t="s">
        <v>34</v>
      </c>
      <c r="D6" s="396"/>
      <c r="E6" s="191">
        <v>0.8</v>
      </c>
      <c r="F6" s="264" t="str">
        <f>IFERROR(SUMIFS(Database!$H:$H, Database!$B:$B,"*" &amp; $X$1 &amp; "*", Database!$D:$D, MONTH(F$3)) / SUMIFS(Database!$G:$G, Database!$B:$B,"*" &amp; $X$1 &amp; "*", Database!$D:$D, MONTH(F$3)), "NA")</f>
        <v>NA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 t="str">
        <f>IFERROR(SUMIFS(Database!$H:$H, Database!$B:$B,"*"&amp; X1&amp;"*") / SUMIFS(Database!$G:$G, Database!$B:$B,"*"&amp; X1&amp;"*"), "NA")</f>
        <v>NA</v>
      </c>
      <c r="S6" s="148"/>
      <c r="T6" s="149">
        <v>0.52</v>
      </c>
      <c r="U6" s="149">
        <v>0.38</v>
      </c>
      <c r="V6" s="217">
        <v>0.36</v>
      </c>
    </row>
    <row r="7" spans="1:24" s="3" customFormat="1" ht="18" customHeight="1">
      <c r="A7" s="120"/>
      <c r="B7" s="426"/>
      <c r="C7" s="8" t="s">
        <v>35</v>
      </c>
      <c r="D7" s="397" t="s">
        <v>36</v>
      </c>
      <c r="E7" s="193">
        <v>0.8</v>
      </c>
      <c r="F7" s="369">
        <v>0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0</v>
      </c>
      <c r="S7" s="154"/>
      <c r="T7" s="156">
        <v>0.52</v>
      </c>
      <c r="U7" s="156">
        <v>0.52</v>
      </c>
      <c r="V7" s="218">
        <v>0.21</v>
      </c>
    </row>
    <row r="8" spans="1:24" s="3" customFormat="1" ht="18" customHeight="1">
      <c r="A8" s="120"/>
      <c r="B8" s="426"/>
      <c r="C8" s="9" t="s">
        <v>37</v>
      </c>
      <c r="D8" s="396"/>
      <c r="E8" s="194">
        <v>0.8</v>
      </c>
      <c r="F8" s="264">
        <v>0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</v>
      </c>
      <c r="S8" s="148"/>
      <c r="T8" s="158">
        <v>0.44</v>
      </c>
      <c r="U8" s="158">
        <v>0.44</v>
      </c>
      <c r="V8" s="220">
        <v>0.57999999999999996</v>
      </c>
    </row>
    <row r="9" spans="1:24" s="3" customFormat="1" ht="18" customHeight="1">
      <c r="A9" s="120"/>
      <c r="B9" s="426"/>
      <c r="C9" s="7" t="s">
        <v>38</v>
      </c>
      <c r="D9" s="388" t="s">
        <v>39</v>
      </c>
      <c r="E9" s="191">
        <v>0.3</v>
      </c>
      <c r="F9" s="267" t="str">
        <f>IFERROR(_xlfn.XLOOKUP($X$1, Database!$AG$4:$AG$19, Database!AI$4:AI$19),"NA")</f>
        <v>NA</v>
      </c>
      <c r="G9" s="268" t="str">
        <f>IFERROR(_xlfn.XLOOKUP($X$1, Database!$AG$4:$AG$19, Database!AJ$4:AJ$19),"")</f>
        <v/>
      </c>
      <c r="H9" s="279" t="str">
        <f>IFERROR(_xlfn.XLOOKUP($X$1, Database!$AG$4:$AG$19, Database!AK$4:AK$19),"")</f>
        <v/>
      </c>
      <c r="I9" s="267" t="str">
        <f>IFERROR(_xlfn.XLOOKUP($X$1, Database!$AG$4:$AG$19, Database!AL$4:AL$19),"")</f>
        <v/>
      </c>
      <c r="J9" s="268" t="str">
        <f>IFERROR(_xlfn.XLOOKUP($X$1, Database!$AG$4:$AG$19, Database!AM$4:AM$19),"")</f>
        <v/>
      </c>
      <c r="K9" s="280" t="str">
        <f>IFERROR(_xlfn.XLOOKUP($X$1, Database!$AG$4:$AG$19, Database!AN$4:AN$19),"")</f>
        <v/>
      </c>
      <c r="L9" s="267" t="str">
        <f>IFERROR(_xlfn.XLOOKUP($X$1, Database!$AG$4:$AG$19, Database!AO$4:AO$19),"")</f>
        <v/>
      </c>
      <c r="M9" s="268" t="str">
        <f>IFERROR(_xlfn.XLOOKUP($X$1, Database!$AG$4:$AG$19, Database!AP$4:AP$19),"")</f>
        <v/>
      </c>
      <c r="N9" s="281" t="str">
        <f>IFERROR(_xlfn.XLOOKUP($X$1, Database!$AG$4:$AG$19, Database!AQ$4:AQ$19),"")</f>
        <v/>
      </c>
      <c r="O9" s="267" t="str">
        <f>IFERROR(_xlfn.XLOOKUP($X$1, Database!$AG$4:$AG$19, Database!AR$4:AR$19),"")</f>
        <v/>
      </c>
      <c r="P9" s="268" t="str">
        <f>IFERROR(_xlfn.XLOOKUP($X$1, Database!$AG$4:$AG$19, Database!AS$4:AS$19),"")</f>
        <v/>
      </c>
      <c r="Q9" s="281" t="str">
        <f>IFERROR(_xlfn.XLOOKUP($X$1, Database!$AG$4:$AG$19, Database!AT$4:AT$19),"")</f>
        <v/>
      </c>
      <c r="R9" s="279" t="str">
        <f>IFERROR(_xlfn.XLOOKUP($X$1, Database!$AG$4:$AG$19, Database!AH$4:AH$19),"NA")</f>
        <v>NA</v>
      </c>
      <c r="S9" s="162"/>
      <c r="T9" s="149">
        <v>0.04</v>
      </c>
      <c r="U9" s="149">
        <v>0.24</v>
      </c>
      <c r="V9" s="217">
        <v>0.25</v>
      </c>
    </row>
    <row r="10" spans="1:24" s="3" customFormat="1" ht="18" customHeight="1" thickBot="1">
      <c r="A10" s="120"/>
      <c r="B10" s="427"/>
      <c r="C10" s="97" t="s">
        <v>40</v>
      </c>
      <c r="D10" s="389"/>
      <c r="E10" s="163">
        <v>0.45</v>
      </c>
      <c r="F10" s="267" t="str">
        <f>IFERROR(_xlfn.XLOOKUP($X$1, Database!$AG$29:$AG$44,Database!AI$29:AI$44),"NA")</f>
        <v>NA</v>
      </c>
      <c r="G10" s="268" t="str">
        <f>IFERROR(_xlfn.XLOOKUP($X$1, Database!$AG$29:$AG$44,Database!AJ$29:AJ$44),"")</f>
        <v/>
      </c>
      <c r="H10" s="279" t="str">
        <f>IFERROR(_xlfn.XLOOKUP($X$1, Database!$AG$29:$AG$44,Database!AK$29:AK$44),"")</f>
        <v/>
      </c>
      <c r="I10" s="326" t="str">
        <f>IFERROR(_xlfn.XLOOKUP($X$1, Database!$AG$29:$AG$44,Database!AL$29:AL$44),"")</f>
        <v/>
      </c>
      <c r="J10" s="327" t="str">
        <f>IFERROR(_xlfn.XLOOKUP($X$1, Database!$AG$29:$AG$44,Database!AM$29:AM$44),"")</f>
        <v/>
      </c>
      <c r="K10" s="345" t="str">
        <f>IFERROR(_xlfn.XLOOKUP($X$1, Database!$AG$29:$AG$44,Database!AN$29:AN$44),"")</f>
        <v/>
      </c>
      <c r="L10" s="326" t="str">
        <f>IFERROR(_xlfn.XLOOKUP($X$1, Database!$AG$29:$AG$44,Database!AO$29:AO$44),"")</f>
        <v/>
      </c>
      <c r="M10" s="327" t="str">
        <f>IFERROR(_xlfn.XLOOKUP($X$1, Database!$AG$29:$AG$44,Database!AP$29:AP$44),"")</f>
        <v/>
      </c>
      <c r="N10" s="328" t="str">
        <f>IFERROR(_xlfn.XLOOKUP($X$1, Database!$AG$29:$AG$44,Database!AQ$29:AQ$44),"")</f>
        <v/>
      </c>
      <c r="O10" s="326" t="str">
        <f>IFERROR(_xlfn.XLOOKUP($X$1, Database!$AG$29:$AG$44,Database!AR$29:AR$44),"")</f>
        <v/>
      </c>
      <c r="P10" s="327" t="str">
        <f>IFERROR(_xlfn.XLOOKUP($X$1, Database!$AG$29:$AG$44,Database!AS$29:AS$44),"")</f>
        <v/>
      </c>
      <c r="Q10" s="328" t="str">
        <f>IFERROR(_xlfn.XLOOKUP($X$1, Database!$AG$29:$AG$44,Database!AT$29:AT$44),"")</f>
        <v/>
      </c>
      <c r="R10" s="329" t="str">
        <f>IFERROR(_xlfn.XLOOKUP($X$1, Database!$AG$29:$AG$44,Database!AH$29:AH$44),"NA")</f>
        <v>NA</v>
      </c>
      <c r="S10" s="199"/>
      <c r="T10" s="325">
        <v>0.34</v>
      </c>
      <c r="U10" s="200" t="s">
        <v>30</v>
      </c>
      <c r="V10" s="201" t="s">
        <v>30</v>
      </c>
    </row>
    <row r="11" spans="1:24" s="3" customFormat="1" ht="18" customHeight="1">
      <c r="A11" s="120"/>
      <c r="B11" s="384" t="s">
        <v>44</v>
      </c>
      <c r="C11" s="7" t="s">
        <v>45</v>
      </c>
      <c r="D11" s="387" t="s">
        <v>46</v>
      </c>
      <c r="E11" s="191">
        <v>0.8</v>
      </c>
      <c r="F11" s="303"/>
      <c r="G11" s="304"/>
      <c r="H11" s="305"/>
      <c r="I11" s="306"/>
      <c r="J11" s="268"/>
      <c r="K11" s="279"/>
      <c r="L11" s="306"/>
      <c r="M11" s="268"/>
      <c r="N11" s="279"/>
      <c r="O11" s="306"/>
      <c r="P11" s="268"/>
      <c r="Q11" s="282"/>
      <c r="R11" s="279"/>
      <c r="S11" s="174"/>
      <c r="T11" s="174" t="s">
        <v>30</v>
      </c>
      <c r="U11" s="174" t="s">
        <v>30</v>
      </c>
      <c r="V11" s="174" t="s">
        <v>30</v>
      </c>
    </row>
    <row r="12" spans="1:24" s="3" customFormat="1" ht="18" customHeight="1">
      <c r="A12" s="120"/>
      <c r="B12" s="385"/>
      <c r="C12" s="7" t="s">
        <v>53</v>
      </c>
      <c r="D12" s="388"/>
      <c r="E12" s="191">
        <v>0.9</v>
      </c>
      <c r="F12" s="307"/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/>
      <c r="S12" s="174"/>
      <c r="T12" s="174" t="s">
        <v>30</v>
      </c>
      <c r="U12" s="174" t="s">
        <v>30</v>
      </c>
      <c r="V12" s="174" t="s">
        <v>30</v>
      </c>
    </row>
    <row r="13" spans="1:24" s="3" customFormat="1" ht="18" customHeight="1" thickBot="1">
      <c r="A13" s="120"/>
      <c r="B13" s="386"/>
      <c r="C13" s="1" t="s">
        <v>54</v>
      </c>
      <c r="D13" s="389"/>
      <c r="E13" s="203">
        <v>0.05</v>
      </c>
      <c r="F13" s="310"/>
      <c r="G13" s="311"/>
      <c r="H13" s="312"/>
      <c r="I13" s="313"/>
      <c r="J13" s="314"/>
      <c r="K13" s="315"/>
      <c r="L13" s="313"/>
      <c r="M13" s="314"/>
      <c r="N13" s="315"/>
      <c r="O13" s="316"/>
      <c r="P13" s="314"/>
      <c r="Q13" s="317"/>
      <c r="R13" s="315"/>
      <c r="S13" s="165"/>
      <c r="T13" s="165" t="s">
        <v>30</v>
      </c>
      <c r="U13" s="165" t="s">
        <v>30</v>
      </c>
      <c r="V13" s="165" t="s">
        <v>30</v>
      </c>
    </row>
    <row r="14" spans="1:24">
      <c r="A14" s="383"/>
      <c r="B14" s="383"/>
      <c r="C14" s="118"/>
      <c r="D14" s="118"/>
      <c r="E14" s="118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</row>
    <row r="15" spans="1:24">
      <c r="A15" s="383"/>
      <c r="B15" s="383"/>
      <c r="C15" s="20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spans="1:22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 spans="1:22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</row>
    <row r="21" spans="1:22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</row>
    <row r="23" spans="1:22">
      <c r="D23" s="18"/>
    </row>
    <row r="24" spans="1:22">
      <c r="D24" s="18"/>
      <c r="F24" s="94"/>
    </row>
    <row r="25" spans="1:22">
      <c r="D25" s="90"/>
    </row>
  </sheetData>
  <mergeCells count="16">
    <mergeCell ref="A21:B21"/>
    <mergeCell ref="D11:D13"/>
    <mergeCell ref="B2:V2"/>
    <mergeCell ref="B5:B10"/>
    <mergeCell ref="D5:D6"/>
    <mergeCell ref="D7:D8"/>
    <mergeCell ref="D9:D10"/>
    <mergeCell ref="A18:B18"/>
    <mergeCell ref="A19:B19"/>
    <mergeCell ref="A20:B20"/>
    <mergeCell ref="A1:B1"/>
    <mergeCell ref="A14:B14"/>
    <mergeCell ref="A15:B15"/>
    <mergeCell ref="A16:B16"/>
    <mergeCell ref="A17:B17"/>
    <mergeCell ref="B11:B13"/>
  </mergeCells>
  <conditionalFormatting sqref="F4:R4">
    <cfRule type="cellIs" dxfId="178" priority="3" stopIfTrue="1" operator="between">
      <formula>0.22</formula>
      <formula>0.32</formula>
    </cfRule>
    <cfRule type="cellIs" dxfId="177" priority="6" stopIfTrue="1" operator="notBetween">
      <formula>0.22</formula>
      <formula>0.32</formula>
    </cfRule>
  </conditionalFormatting>
  <conditionalFormatting sqref="F4:R13">
    <cfRule type="beginsWith" dxfId="176" priority="1" stopIfTrue="1" operator="beginsWith" text="NA">
      <formula>LEFT(F4,LEN("NA"))="NA"</formula>
    </cfRule>
    <cfRule type="containsBlanks" dxfId="175" priority="2" stopIfTrue="1">
      <formula>LEN(TRIM(F4))=0</formula>
    </cfRule>
  </conditionalFormatting>
  <conditionalFormatting sqref="F5:R12">
    <cfRule type="cellIs" dxfId="174" priority="4" stopIfTrue="1" operator="greaterThan">
      <formula>$E5</formula>
    </cfRule>
    <cfRule type="cellIs" dxfId="173" priority="5" stopIfTrue="1" operator="lessThan">
      <formula>$E5</formula>
    </cfRule>
  </conditionalFormatting>
  <conditionalFormatting sqref="F13:R13">
    <cfRule type="cellIs" dxfId="172" priority="9" stopIfTrue="1" operator="lessThan">
      <formula>$E$16</formula>
    </cfRule>
    <cfRule type="cellIs" dxfId="171" priority="10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681E-8201-FD4D-A51C-628A4EDE2C10}">
  <sheetPr codeName="Sheet7"/>
  <dimension ref="A1:X26"/>
  <sheetViews>
    <sheetView showGridLines="0" tabSelected="1" topLeftCell="B1" zoomScale="114" zoomScaleNormal="45" workbookViewId="0">
      <selection activeCell="C26" sqref="C26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7.1640625" customWidth="1"/>
    <col min="4" max="4" width="12" bestFit="1" customWidth="1"/>
    <col min="5" max="5" width="10.33203125" customWidth="1"/>
    <col min="6" max="17" width="8.5" style="2" customWidth="1"/>
    <col min="18" max="18" width="7.6640625" style="2" bestFit="1" customWidth="1"/>
    <col min="19" max="19" width="6.6640625" style="2" customWidth="1"/>
    <col min="20" max="20" width="8.164062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17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Database!$N:$N,$X$1, Database!$L:$L, MONTH(F$3)) / SUMIFS(Database!$P:$P, Database!$N:$N,$X$1, Database!$L:$L, MONTH(F$3)), "NA")</f>
        <v>0.27993287078194612</v>
      </c>
      <c r="G4" s="258" t="str">
        <f>IFERROR(SUMIFS(Database!$O:$O, Database!$N:$N,$X$1, Database!$L:$L, MONTH(G$3)) / SUMIFS(Database!$P:$P, Database!$N:$N,$X$1, Database!$L:$L, MONTH(G$3)), "")</f>
        <v/>
      </c>
      <c r="H4" s="259" t="str">
        <f>IFERROR(SUMIFS(Database!$O:$O, Database!$N:$N,$X$1, Database!$L:$L, MONTH(H$3)) / SUMIFS(Database!$P:$P, Database!$N:$N,$X$1, Database!$L:$L, MONTH(H$3)), "")</f>
        <v/>
      </c>
      <c r="I4" s="257" t="str">
        <f>IFERROR(SUMIFS(Database!$O:$O, Database!$N:$N,$X$1, Database!$L:$L, MONTH(I$3)) / SUMIFS(Database!$P:$P, Database!$N:$N,$X$1, Database!$L:$L, MONTH(I$3)), "")</f>
        <v/>
      </c>
      <c r="J4" s="258" t="str">
        <f>IFERROR(SUMIFS(Database!$O:$O, Database!$N:$N,$X$1, Database!$L:$L, MONTH(J$3)) / SUMIFS(Database!$P:$P, Database!$N:$N,$X$1, Database!$L:$L, MONTH(J$3)), "")</f>
        <v/>
      </c>
      <c r="K4" s="259" t="str">
        <f>IFERROR(SUMIFS(Database!$O:$O, Database!$N:$N,$X$1, Database!$L:$L, MONTH(K$3)) / SUMIFS(Database!$P:$P, Database!$N:$N,$X$1, Database!$L:$L, MONTH(K$3)), "")</f>
        <v/>
      </c>
      <c r="L4" s="257" t="str">
        <f>IFERROR(SUMIFS(Database!$O:$O, Database!$N:$N,$X$1, Database!$L:$L, MONTH(L$3)) / SUMIFS(Database!$P:$P, Database!$N:$N,$X$1, Database!$L:$L, MONTH(L$3)), "")</f>
        <v/>
      </c>
      <c r="M4" s="258" t="str">
        <f>IFERROR(SUMIFS(Database!$O:$O, Database!$N:$N,$X$1, Database!$L:$L, MONTH(M$3)) / SUMIFS(Database!$P:$P, Database!$N:$N,$X$1, Database!$L:$L, MONTH(M$3)), "")</f>
        <v/>
      </c>
      <c r="N4" s="259" t="str">
        <f>IFERROR(SUMIFS(Database!$O:$O, Database!$N:$N,$X$1, Database!$L:$L, MONTH(N$3)) / SUMIFS(Database!$P:$P, Database!$N:$N,$X$1, Database!$L:$L, MONTH(N$3)), "")</f>
        <v/>
      </c>
      <c r="O4" s="260" t="str">
        <f>IFERROR(SUMIFS(Database!$O:$O, Database!$N:$N,$X$1, Database!$L:$L, MONTH(O$3)) / SUMIFS(Database!$P:$P, Database!$N:$N,$X$1, Database!$L:$L, MONTH(O$3)), "")</f>
        <v/>
      </c>
      <c r="P4" s="258" t="str">
        <f>IFERROR(SUMIFS(Database!$O:$O, Database!$N:$N,$X$1, Database!$L:$L, MONTH(P$3)) / SUMIFS(Database!$P:$P, Database!$N:$N,$X$1, Database!$L:$L, MONTH(P$3)), "")</f>
        <v/>
      </c>
      <c r="Q4" s="259" t="str">
        <f>IFERROR(SUMIFS(Database!$O:$O, Database!$N:$N,$X$1, Database!$L:$L, MONTH(Q$3)) / SUMIFS(Database!$P:$P, Database!$N:$N,$X$1, Database!$L:$L, MONTH(Q$3)), "")</f>
        <v/>
      </c>
      <c r="R4" s="259">
        <f>IFERROR(SUMIFS(Database!$O:$O, Database!$N:$N,$X$1) / SUMIFS(Database!$P:$P, Database!$N:$N,$X$1), "NA")</f>
        <v>0.27993287078194612</v>
      </c>
      <c r="S4" s="136"/>
      <c r="T4" s="137">
        <v>0.3</v>
      </c>
      <c r="U4" s="137">
        <v>0.31</v>
      </c>
      <c r="V4" s="137">
        <v>0.35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142">
        <v>1</v>
      </c>
      <c r="T5" s="175">
        <v>1</v>
      </c>
      <c r="U5" s="175">
        <v>0.93</v>
      </c>
      <c r="V5" s="175">
        <v>0.89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Database!$B:$B,$X$1, Database!$D:$D, MONTH(F$3)) / SUMIFS(Database!$G:$G, Database!$B:$B, $X$1, Database!$D:$D, MONTH(F$3)), "NA")</f>
        <v>0.90626329194382049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Database!$B:$B,$X$1) / SUMIFS(Database!$G:$G, Database!$B:$B,$X$1), "NA")</f>
        <v>0.90626329194382049</v>
      </c>
      <c r="S6" s="148"/>
      <c r="T6" s="149">
        <v>0.84</v>
      </c>
      <c r="U6" s="149">
        <v>0.85</v>
      </c>
      <c r="V6" s="149">
        <v>0.88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0.9</v>
      </c>
      <c r="U7" s="156">
        <v>0.7</v>
      </c>
      <c r="V7" s="156">
        <v>0.48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148"/>
      <c r="T8" s="158">
        <v>0.91</v>
      </c>
      <c r="U8" s="158">
        <v>0.85</v>
      </c>
      <c r="V8" s="158">
        <v>0.4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0.45500000000000002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0.45500000000000002</v>
      </c>
      <c r="S9" s="162"/>
      <c r="T9" s="149">
        <v>0.36</v>
      </c>
      <c r="U9" s="149">
        <v>0.22</v>
      </c>
      <c r="V9" s="149">
        <v>0.22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91">
        <v>0.45</v>
      </c>
      <c r="F10" s="326">
        <f>_xlfn.XLOOKUP($X$1, Database!$AG$29:$AG$44,Database!AI$29:AI$44)</f>
        <v>1</v>
      </c>
      <c r="G10" s="327" t="str">
        <f>IF(_xlfn.XLOOKUP($X$1, Database!$AG$29:$AG$44,Database!AJ$29:AJ$44)=0,"",_xlfn.XLOOKUP($X$1, Database!$AG$29:$AG$44,Database!AJ$29:AJ$44))</f>
        <v/>
      </c>
      <c r="H10" s="328" t="str">
        <f>IF(_xlfn.XLOOKUP($X$1, Database!$AG$29:$AG$44,Database!AK$29:AK$44)=0,"",_xlfn.XLOOKUP($X$1, Database!$AG$29:$AG$44,Database!AK$29:AK$44))</f>
        <v/>
      </c>
      <c r="I10" s="326" t="str">
        <f>IF(_xlfn.XLOOKUP($X$1, Database!$AG$29:$AG$44,Database!AL$29:AL$44)=0,"",_xlfn.XLOOKUP($X$1, Database!$AG$29:$AG$44,Database!AL$29:AL$44))</f>
        <v/>
      </c>
      <c r="J10" s="327" t="str">
        <f>IF(_xlfn.XLOOKUP($X$1, Database!$AG$29:$AG$44,Database!AM$29:AM$44)=0,"",_xlfn.XLOOKUP($X$1, Database!$AG$29:$AG$44,Database!AM$29:AM$44))</f>
        <v/>
      </c>
      <c r="K10" s="345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329">
        <f>IFERROR(_xlfn.XLOOKUP($X$1, Database!$AG$29:$AG$44,Database!AH$29:AH$44),"NA")</f>
        <v>1</v>
      </c>
      <c r="S10" s="162"/>
      <c r="T10" s="149">
        <v>0.72</v>
      </c>
      <c r="U10" s="174" t="s">
        <v>30</v>
      </c>
      <c r="V10" s="174" t="s">
        <v>30</v>
      </c>
      <c r="W10" s="120"/>
      <c r="X10" s="120"/>
    </row>
    <row r="11" spans="1:24" s="3" customFormat="1" ht="18" customHeight="1" thickBot="1">
      <c r="A11" s="120"/>
      <c r="B11" s="347" t="s">
        <v>50</v>
      </c>
      <c r="C11" s="361" t="s">
        <v>43</v>
      </c>
      <c r="D11" s="346" t="s">
        <v>51</v>
      </c>
      <c r="E11" s="362">
        <v>1.75</v>
      </c>
      <c r="F11" s="341" t="str">
        <f>IF(SUMIFS(Database!$AA:$AA,Database!$Y:$Y,$X$1,Database!$W:$W,MONTH(F$3))=0, "NA", SUMIFS(Database!$AA:$AA,Database!$Y:$Y,$X$1,Database!$W:$W,MONTH(F$3)))</f>
        <v>NA</v>
      </c>
      <c r="G11" s="342" t="str">
        <f>IF(SUMIFS(Database!$AA:$AA,Database!$Y:$Y,$X$1,Database!$W:$W,MONTH(G$3))=0, "", SUMIFS(Database!$AA:$AA,Database!$Y:$Y,$X$1,Database!$W:$W,MONTH(G$3)))</f>
        <v/>
      </c>
      <c r="H11" s="343" t="str">
        <f>IF(SUMIFS(Database!$AA:$AA,Database!$Y:$Y,$X$1,Database!$W:$W,MONTH(H$3))=0, "", SUMIFS(Database!$AA:$AA,Database!$Y:$Y,$X$1,Database!$W:$W,MONTH(H$3)))</f>
        <v/>
      </c>
      <c r="I11" s="341" t="str">
        <f>IF(SUMIFS(Database!$AA:$AA,Database!$Y:$Y,$X$1,Database!$W:$W,MONTH(I$3))=0, "", SUMIFS(Database!$AA:$AA,Database!$Y:$Y,$X$1,Database!$W:$W,MONTH(I$3)))</f>
        <v/>
      </c>
      <c r="J11" s="342" t="str">
        <f>IF(SUMIFS(Database!$AA:$AA,Database!$Y:$Y,$X$1,Database!$W:$W,MONTH(J$3))=0, "", SUMIFS(Database!$AA:$AA,Database!$Y:$Y,$X$1,Database!$W:$W,MONTH(J$3)))</f>
        <v/>
      </c>
      <c r="K11" s="343" t="str">
        <f>IF(SUMIFS(Database!$AA:$AA,Database!$Y:$Y,$X$1,Database!$W:$W,MONTH(K$3))=0, "", SUMIFS(Database!$AA:$AA,Database!$Y:$Y,$X$1,Database!$W:$W,MONTH(K$3)))</f>
        <v/>
      </c>
      <c r="L11" s="341" t="str">
        <f>IF(SUMIFS(Database!$AA:$AA,Database!$Y:$Y,$X$1,Database!$W:$W,MONTH(L$3))=0, "", SUMIFS(Database!$AA:$AA,Database!$Y:$Y,$X$1,Database!$W:$W,MONTH(L$3)))</f>
        <v/>
      </c>
      <c r="M11" s="342" t="str">
        <f>IF(SUMIFS(Database!$AA:$AA,Database!$Y:$Y,$X$1,Database!$W:$W,MONTH(M$3))=0, "", SUMIFS(Database!$AA:$AA,Database!$Y:$Y,$X$1,Database!$W:$W,MONTH(M$3)))</f>
        <v/>
      </c>
      <c r="N11" s="343" t="str">
        <f>IF(SUMIFS(Database!$AA:$AA,Database!$Y:$Y,$X$1,Database!$W:$W,MONTH(N$3))=0, "", SUMIFS(Database!$AA:$AA,Database!$Y:$Y,$X$1,Database!$W:$W,MONTH(N$3)))</f>
        <v/>
      </c>
      <c r="O11" s="341" t="str">
        <f>IF(SUMIFS(Database!$AA:$AA,Database!$Y:$Y,$X$1,Database!$W:$W,MONTH(O$3))=0, "", SUMIFS(Database!$AA:$AA,Database!$Y:$Y,$X$1,Database!$W:$W,MONTH(O$3)))</f>
        <v/>
      </c>
      <c r="P11" s="323" t="str">
        <f>IF(SUMIFS(Database!$AA:$AA,Database!$Y:$Y,$X$1,Database!$W:$W,MONTH(P$3))=0, "", SUMIFS(Database!$AA:$AA,Database!$Y:$Y,$X$1,Database!$W:$W,MONTH(P$3)))</f>
        <v/>
      </c>
      <c r="Q11" s="317" t="str">
        <f>IF(SUMIFS(Database!$AA:$AA,Database!$Y:$Y,$X$1,Database!$W:$W,MONTH(Q$3))=0, "", SUMIFS(Database!$AA:$AA,Database!$Y:$Y,$X$1,Database!$W:$W,MONTH(Q$3)))</f>
        <v/>
      </c>
      <c r="R11" s="344">
        <f>IFERROR(SUMIFS(Database!$AC:$AC, Database!$Y:$Y, $X$1) / SUMIFS(Database!$AB:$AB, Database!$Y:$Y, $X$1), "")</f>
        <v>0</v>
      </c>
      <c r="S11" s="363"/>
      <c r="T11" s="364">
        <v>1.67</v>
      </c>
      <c r="U11" s="364">
        <v>2.5499999999999998</v>
      </c>
      <c r="V11" s="365" t="s">
        <v>30</v>
      </c>
      <c r="W11" s="138"/>
      <c r="X11" s="138"/>
    </row>
    <row r="12" spans="1:24" s="3" customFormat="1" ht="18" customHeight="1">
      <c r="A12" s="120"/>
      <c r="B12" s="384" t="s">
        <v>44</v>
      </c>
      <c r="C12" s="7" t="s">
        <v>45</v>
      </c>
      <c r="D12" s="388" t="s">
        <v>46</v>
      </c>
      <c r="E12" s="191">
        <v>0.8</v>
      </c>
      <c r="F12" s="307">
        <v>1</v>
      </c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>
        <v>1</v>
      </c>
      <c r="S12" s="198"/>
      <c r="T12" s="149">
        <v>0.96</v>
      </c>
      <c r="U12" s="149">
        <v>0.68</v>
      </c>
      <c r="V12" s="149">
        <v>0.45</v>
      </c>
      <c r="W12" s="120"/>
      <c r="X12" s="120"/>
    </row>
    <row r="13" spans="1:24" s="3" customFormat="1" ht="18" customHeight="1">
      <c r="A13" s="120"/>
      <c r="B13" s="385"/>
      <c r="C13" s="7" t="s">
        <v>47</v>
      </c>
      <c r="D13" s="388"/>
      <c r="E13" s="191">
        <v>0.9</v>
      </c>
      <c r="F13" s="307" t="s">
        <v>30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221">
        <v>1</v>
      </c>
      <c r="T13" s="149">
        <v>1</v>
      </c>
      <c r="U13" s="149">
        <v>0.02</v>
      </c>
      <c r="V13" s="174" t="s">
        <v>30</v>
      </c>
      <c r="W13" s="120"/>
      <c r="X13" s="120"/>
    </row>
    <row r="14" spans="1:24" s="3" customFormat="1" ht="18" customHeight="1" thickBot="1">
      <c r="A14" s="120"/>
      <c r="B14" s="386"/>
      <c r="C14" s="1" t="s">
        <v>48</v>
      </c>
      <c r="D14" s="389"/>
      <c r="E14" s="203">
        <v>0.05</v>
      </c>
      <c r="F14" s="352">
        <v>1E-4</v>
      </c>
      <c r="G14" s="311"/>
      <c r="H14" s="312"/>
      <c r="I14" s="313"/>
      <c r="J14" s="314"/>
      <c r="K14" s="315"/>
      <c r="L14" s="313"/>
      <c r="M14" s="314"/>
      <c r="N14" s="315"/>
      <c r="O14" s="316"/>
      <c r="P14" s="314"/>
      <c r="Q14" s="317"/>
      <c r="R14" s="315">
        <v>1E-4</v>
      </c>
      <c r="S14" s="222"/>
      <c r="T14" s="324">
        <v>7.6999999999999999E-2</v>
      </c>
      <c r="U14" s="165" t="s">
        <v>30</v>
      </c>
      <c r="V14" s="165" t="s">
        <v>30</v>
      </c>
      <c r="W14" s="120"/>
      <c r="X14" s="120"/>
    </row>
    <row r="15" spans="1:24">
      <c r="A15" s="383"/>
      <c r="B15" s="383"/>
      <c r="C15" s="118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8"/>
      <c r="X15" s="118"/>
    </row>
    <row r="16" spans="1:24">
      <c r="A16" s="383"/>
      <c r="B16" s="383"/>
      <c r="C16" s="20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2" spans="1:24">
      <c r="G22" s="91"/>
    </row>
    <row r="24" spans="1:24">
      <c r="D24" s="18"/>
    </row>
    <row r="25" spans="1:24">
      <c r="D25" s="18"/>
      <c r="F25" s="94"/>
    </row>
    <row r="26" spans="1:24">
      <c r="D26" s="90"/>
    </row>
  </sheetData>
  <mergeCells count="13">
    <mergeCell ref="D12:D14"/>
    <mergeCell ref="B2:V2"/>
    <mergeCell ref="B5:B10"/>
    <mergeCell ref="D5:D6"/>
    <mergeCell ref="D7:D8"/>
    <mergeCell ref="D9:D10"/>
    <mergeCell ref="A19:B19"/>
    <mergeCell ref="A1:B1"/>
    <mergeCell ref="A15:B15"/>
    <mergeCell ref="A16:B16"/>
    <mergeCell ref="A17:B17"/>
    <mergeCell ref="A18:B18"/>
    <mergeCell ref="B12:B14"/>
  </mergeCells>
  <conditionalFormatting sqref="F4:R4">
    <cfRule type="cellIs" dxfId="170" priority="11" stopIfTrue="1" operator="between">
      <formula>0.22</formula>
      <formula>0.32</formula>
    </cfRule>
    <cfRule type="cellIs" dxfId="169" priority="14" stopIfTrue="1" operator="notBetween">
      <formula>0.22</formula>
      <formula>0.32</formula>
    </cfRule>
  </conditionalFormatting>
  <conditionalFormatting sqref="F4:R14">
    <cfRule type="beginsWith" dxfId="168" priority="1" stopIfTrue="1" operator="beginsWith" text="NA">
      <formula>LEFT(F4,LEN("NA"))="NA"</formula>
    </cfRule>
    <cfRule type="containsBlanks" dxfId="167" priority="2" stopIfTrue="1">
      <formula>LEN(TRIM(F4))=0</formula>
    </cfRule>
  </conditionalFormatting>
  <conditionalFormatting sqref="F5:R10">
    <cfRule type="cellIs" dxfId="166" priority="12" stopIfTrue="1" operator="greaterThan">
      <formula>$E5</formula>
    </cfRule>
    <cfRule type="cellIs" dxfId="165" priority="13" stopIfTrue="1" operator="lessThan">
      <formula>$E5</formula>
    </cfRule>
  </conditionalFormatting>
  <conditionalFormatting sqref="F11:R11">
    <cfRule type="cellIs" dxfId="164" priority="7" stopIfTrue="1" operator="lessThan">
      <formula>$E11</formula>
    </cfRule>
    <cfRule type="cellIs" dxfId="163" priority="8" stopIfTrue="1" operator="greaterThan">
      <formula>$E11</formula>
    </cfRule>
  </conditionalFormatting>
  <conditionalFormatting sqref="F12:R13">
    <cfRule type="cellIs" dxfId="162" priority="5" stopIfTrue="1" operator="greaterThan">
      <formula>$E12</formula>
    </cfRule>
    <cfRule type="cellIs" dxfId="161" priority="6" stopIfTrue="1" operator="lessThan">
      <formula>$E12</formula>
    </cfRule>
  </conditionalFormatting>
  <conditionalFormatting sqref="F14:R14">
    <cfRule type="cellIs" dxfId="160" priority="3" operator="lessThan">
      <formula>$E$14</formula>
    </cfRule>
    <cfRule type="cellIs" dxfId="159" priority="4" operator="greaterThan">
      <formula>$E$14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9ECC-633D-1D47-9810-A378DFAD570D}">
  <sheetPr codeName="Sheet10"/>
  <dimension ref="A1:X27"/>
  <sheetViews>
    <sheetView showGridLines="0" topLeftCell="B1" zoomScale="120" zoomScaleNormal="12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7" customWidth="1"/>
    <col min="4" max="4" width="12" bestFit="1" customWidth="1"/>
    <col min="5" max="5" width="9" bestFit="1" customWidth="1"/>
    <col min="6" max="7" width="8.5" style="2" bestFit="1" customWidth="1"/>
    <col min="8" max="17" width="8.1640625" style="2" customWidth="1"/>
    <col min="18" max="20" width="8.3320312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15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>
        <f>IFERROR(SUMIFS(Database!$O:$O, Database!$N:$N,"*" &amp; $X$1 &amp; "*", Database!$L:$L, MONTH(F$3)) / SUMIFS(Database!$P:$P, Database!$N:$N,"*" &amp; $X$1 &amp; "*", Database!$L:$L, MONTH(F$3)), "NA")</f>
        <v>0.16046978098359899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0.16046978098359899</v>
      </c>
      <c r="S4" s="136"/>
      <c r="T4" s="137">
        <v>0.34</v>
      </c>
      <c r="U4" s="137">
        <v>0.21</v>
      </c>
      <c r="V4" s="137">
        <v>0.32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142">
        <v>1</v>
      </c>
      <c r="T5" s="175">
        <v>1</v>
      </c>
      <c r="U5" s="175">
        <v>0.71</v>
      </c>
      <c r="V5" s="175">
        <v>0.95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"NA")</f>
        <v>0.88157874941911774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0.88157874941911774</v>
      </c>
      <c r="S6" s="148"/>
      <c r="T6" s="149">
        <v>0.8</v>
      </c>
      <c r="U6" s="149">
        <v>0.79</v>
      </c>
      <c r="V6" s="149">
        <v>0.73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0.87</v>
      </c>
      <c r="U7" s="156">
        <v>0.95</v>
      </c>
      <c r="V7" s="156">
        <v>0.38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0.72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0.72</v>
      </c>
      <c r="S8" s="148"/>
      <c r="T8" s="158">
        <v>0.75</v>
      </c>
      <c r="U8" s="158">
        <v>0.82</v>
      </c>
      <c r="V8" s="158">
        <v>0.71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0.21299999999999999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0.21299999999999999</v>
      </c>
      <c r="S9" s="162"/>
      <c r="T9" s="149">
        <v>0.3</v>
      </c>
      <c r="U9" s="149">
        <v>0.36</v>
      </c>
      <c r="V9" s="149">
        <v>0.32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91">
        <v>0.45</v>
      </c>
      <c r="F10" s="267">
        <f>_xlfn.XLOOKUP($X$1, Database!$AG$29:$AG$44,Database!AI$29:AI$44)</f>
        <v>0.46300000000000002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267" t="str">
        <f>IF(_xlfn.XLOOKUP($X$1, Database!$AG$29:$AG$44,Database!AL$29:AL$44)=0,"",_xlfn.XLOOKUP($X$1, Database!$AG$29:$AG$44,Database!AL$29:AL$44))</f>
        <v/>
      </c>
      <c r="J10" s="268" t="str">
        <f>IF(_xlfn.XLOOKUP($X$1, Database!$AG$29:$AG$44,Database!AM$29:AM$44)=0,"",_xlfn.XLOOKUP($X$1, Database!$AG$29:$AG$44,Database!AM$29:AM$44))</f>
        <v/>
      </c>
      <c r="K10" s="280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279">
        <f>IFERROR(_xlfn.XLOOKUP($X$1, Database!$AG$29:$AG$44,Database!AH$29:AH$44),"NA")</f>
        <v>0.46300000000000002</v>
      </c>
      <c r="S10" s="162"/>
      <c r="T10" s="149">
        <v>0.72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96" t="s">
        <v>42</v>
      </c>
      <c r="D11" s="387" t="s">
        <v>51</v>
      </c>
      <c r="E11" s="208">
        <v>20.079999999999998</v>
      </c>
      <c r="F11" s="287">
        <f>IF(SUMIFS(Database!$Z:$Z,Database!$Y:$Y,$X$1,Database!$W:$W,MONTH(F$3))=0, "", SUMIFS(Database!$Z:$Z,Database!$Y:$Y,$X$1,Database!$W:$W,MONTH(F$3)))</f>
        <v>25.69183057</v>
      </c>
      <c r="G11" s="288" t="str">
        <f>IF(SUMIFS(Database!$Z:$Z,Database!$Y:$Y,$X$1,Database!$W:$W,MONTH(G$3))=0, "", SUMIFS(Database!$Z:$Z,Database!$Y:$Y,$X$1,Database!$W:$W,MONTH(G$3)))</f>
        <v/>
      </c>
      <c r="H11" s="286" t="str">
        <f>IF(SUMIFS(Database!$Z:$Z,Database!$Y:$Y,$X$1,Database!$W:$W,MONTH(H$3))=0, "", SUMIFS(Database!$Z:$Z,Database!$Y:$Y,$X$1,Database!$W:$W,MONTH(H$3)))</f>
        <v/>
      </c>
      <c r="I11" s="287" t="str">
        <f>IF(SUMIFS(Database!$Z:$Z,Database!$Y:$Y,$X$1,Database!$W:$W,MONTH(I$3))=0, "", SUMIFS(Database!$Z:$Z,Database!$Y:$Y,$X$1,Database!$W:$W,MONTH(I$3)))</f>
        <v/>
      </c>
      <c r="J11" s="288" t="str">
        <f>IF(SUMIFS(Database!$Z:$Z,Database!$Y:$Y,$X$1,Database!$W:$W,MONTH(J$3))=0, "", SUMIFS(Database!$Z:$Z,Database!$Y:$Y,$X$1,Database!$W:$W,MONTH(J$3)))</f>
        <v/>
      </c>
      <c r="K11" s="286" t="str">
        <f>IF(SUMIFS(Database!$Z:$Z,Database!$Y:$Y,$X$1,Database!$W:$W,MONTH(K$3))=0, "", SUMIFS(Database!$Z:$Z,Database!$Y:$Y,$X$1,Database!$W:$W,MONTH(K$3)))</f>
        <v/>
      </c>
      <c r="L11" s="287" t="str">
        <f>IF(SUMIFS(Database!$Z:$Z,Database!$Y:$Y,$X$1,Database!$W:$W,MONTH(L$3))=0, "", SUMIFS(Database!$Z:$Z,Database!$Y:$Y,$X$1,Database!$W:$W,MONTH(L$3)))</f>
        <v/>
      </c>
      <c r="M11" s="288" t="str">
        <f>IF(SUMIFS(Database!$Z:$Z,Database!$Y:$Y,$X$1,Database!$W:$W,MONTH(M$3))=0, "", SUMIFS(Database!$Z:$Z,Database!$Y:$Y,$X$1,Database!$W:$W,MONTH(M$3)))</f>
        <v/>
      </c>
      <c r="N11" s="286" t="str">
        <f>IF(SUMIFS(Database!$Z:$Z,Database!$Y:$Y,$X$1,Database!$W:$W,MONTH(N$3))=0, "", SUMIFS(Database!$Z:$Z,Database!$Y:$Y,$X$1,Database!$W:$W,MONTH(N$3)))</f>
        <v/>
      </c>
      <c r="O11" s="287" t="str">
        <f>IF(SUMIFS(Database!$Z:$Z,Database!$Y:$Y,$X$1,Database!$W:$W,MONTH(O$3))=0, "", SUMIFS(Database!$Z:$Z,Database!$Y:$Y,$X$1,Database!$W:$W,MONTH(O$3)))</f>
        <v/>
      </c>
      <c r="P11" s="289" t="str">
        <f>IF(SUMIFS(Database!$Z:$Z,Database!$Y:$Y,$X$1,Database!$W:$W,MONTH(P$3))=0, "", SUMIFS(Database!$Z:$Z,Database!$Y:$Y,$X$1,Database!$W:$W,MONTH(P$3)))</f>
        <v/>
      </c>
      <c r="Q11" s="290" t="str">
        <f>IF(SUMIFS(Database!$Z:$Z,Database!$Y:$Y,$X$1,Database!$W:$W,MONTH(Q$3))=0, "", SUMIFS(Database!$Z:$Z,Database!$Y:$Y,$X$1,Database!$W:$W,MONTH(Q$3)))</f>
        <v/>
      </c>
      <c r="R11" s="291">
        <f>IFERROR(SUMIFS(Database!$AE:$AE, Database!$Y:$Y, $X$1) / SUMIFS(Database!$AD:$AD, Database!$Y:$Y, $X$1), "")</f>
        <v>25.691830565838181</v>
      </c>
      <c r="S11" s="195"/>
      <c r="T11" s="196">
        <v>25.7</v>
      </c>
      <c r="U11" s="196">
        <v>35.01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429"/>
      <c r="C12" s="1" t="s">
        <v>43</v>
      </c>
      <c r="D12" s="389"/>
      <c r="E12" s="360">
        <v>1.75</v>
      </c>
      <c r="F12" s="341">
        <f>IF(SUMIFS(Database!$AA:$AA,Database!$Y:$Y,$X$1,Database!$W:$W,MONTH(F$3))=0, "", SUMIFS(Database!$AA:$AA,Database!$Y:$Y,$X$1,Database!$W:$W,MONTH(F$3)))</f>
        <v>5.8874250290000001</v>
      </c>
      <c r="G12" s="342" t="str">
        <f>IF(SUMIFS(Database!$AA:$AA,Database!$Y:$Y,$X$1,Database!$W:$W,MONTH(G$3))=0, "", SUMIFS(Database!$AA:$AA,Database!$Y:$Y,$X$1,Database!$W:$W,MONTH(G$3)))</f>
        <v/>
      </c>
      <c r="H12" s="343" t="str">
        <f>IF(SUMIFS(Database!$AA:$AA,Database!$Y:$Y,$X$1,Database!$W:$W,MONTH(H$3))=0, "", SUMIFS(Database!$AA:$AA,Database!$Y:$Y,$X$1,Database!$W:$W,MONTH(H$3)))</f>
        <v/>
      </c>
      <c r="I12" s="341" t="str">
        <f>IF(SUMIFS(Database!$AA:$AA,Database!$Y:$Y,$X$1,Database!$W:$W,MONTH(I$3))=0, "", SUMIFS(Database!$AA:$AA,Database!$Y:$Y,$X$1,Database!$W:$W,MONTH(I$3)))</f>
        <v/>
      </c>
      <c r="J12" s="342" t="str">
        <f>IF(SUMIFS(Database!$AA:$AA,Database!$Y:$Y,$X$1,Database!$W:$W,MONTH(J$3))=0, "", SUMIFS(Database!$AA:$AA,Database!$Y:$Y,$X$1,Database!$W:$W,MONTH(J$3)))</f>
        <v/>
      </c>
      <c r="K12" s="343" t="str">
        <f>IF(SUMIFS(Database!$AA:$AA,Database!$Y:$Y,$X$1,Database!$W:$W,MONTH(K$3))=0, "", SUMIFS(Database!$AA:$AA,Database!$Y:$Y,$X$1,Database!$W:$W,MONTH(K$3)))</f>
        <v/>
      </c>
      <c r="L12" s="341" t="str">
        <f>IF(SUMIFS(Database!$AA:$AA,Database!$Y:$Y,$X$1,Database!$W:$W,MONTH(L$3))=0, "", SUMIFS(Database!$AA:$AA,Database!$Y:$Y,$X$1,Database!$W:$W,MONTH(L$3)))</f>
        <v/>
      </c>
      <c r="M12" s="342" t="str">
        <f>IF(SUMIFS(Database!$AA:$AA,Database!$Y:$Y,$X$1,Database!$W:$W,MONTH(M$3))=0, "", SUMIFS(Database!$AA:$AA,Database!$Y:$Y,$X$1,Database!$W:$W,MONTH(M$3)))</f>
        <v/>
      </c>
      <c r="N12" s="343" t="str">
        <f>IF(SUMIFS(Database!$AA:$AA,Database!$Y:$Y,$X$1,Database!$W:$W,MONTH(N$3))=0, "", SUMIFS(Database!$AA:$AA,Database!$Y:$Y,$X$1,Database!$W:$W,MONTH(N$3)))</f>
        <v/>
      </c>
      <c r="O12" s="341" t="str">
        <f>IF(SUMIFS(Database!$AA:$AA,Database!$Y:$Y,$X$1,Database!$W:$W,MONTH(O$3))=0, "", SUMIFS(Database!$AA:$AA,Database!$Y:$Y,$X$1,Database!$W:$W,MONTH(O$3)))</f>
        <v/>
      </c>
      <c r="P12" s="323" t="str">
        <f>IF(SUMIFS(Database!$AA:$AA,Database!$Y:$Y,$X$1,Database!$W:$W,MONTH(P$3))=0, "", SUMIFS(Database!$AA:$AA,Database!$Y:$Y,$X$1,Database!$W:$W,MONTH(P$3)))</f>
        <v/>
      </c>
      <c r="Q12" s="317" t="str">
        <f>IF(SUMIFS(Database!$AA:$AA,Database!$Y:$Y,$X$1,Database!$W:$W,MONTH(Q$3))=0, "", SUMIFS(Database!$AA:$AA,Database!$Y:$Y,$X$1,Database!$W:$W,MONTH(Q$3)))</f>
        <v/>
      </c>
      <c r="R12" s="344">
        <f>IFERROR(SUMIFS(Database!$AC:$AC, Database!$Y:$Y, $X$1) / SUMIFS(Database!$AB:$AB, Database!$Y:$Y, $X$1), "")</f>
        <v>5.887425029434171</v>
      </c>
      <c r="S12" s="222"/>
      <c r="T12" s="354">
        <v>2</v>
      </c>
      <c r="U12" s="354">
        <v>3.54</v>
      </c>
      <c r="V12" s="358" t="s">
        <v>30</v>
      </c>
      <c r="W12" s="138"/>
      <c r="X12" s="138"/>
    </row>
    <row r="13" spans="1:24" s="3" customFormat="1" ht="18" customHeight="1">
      <c r="A13" s="120"/>
      <c r="B13" s="384" t="s">
        <v>44</v>
      </c>
      <c r="C13" s="7" t="s">
        <v>45</v>
      </c>
      <c r="D13" s="388" t="s">
        <v>46</v>
      </c>
      <c r="E13" s="191">
        <v>0.8</v>
      </c>
      <c r="F13" s="307">
        <v>1</v>
      </c>
      <c r="G13" s="308"/>
      <c r="H13" s="309"/>
      <c r="I13" s="306"/>
      <c r="J13" s="268"/>
      <c r="K13" s="279"/>
      <c r="L13" s="306"/>
      <c r="M13" s="268"/>
      <c r="N13" s="279"/>
      <c r="O13" s="306"/>
      <c r="P13" s="268"/>
      <c r="Q13" s="282"/>
      <c r="R13" s="279">
        <v>1</v>
      </c>
      <c r="S13" s="162"/>
      <c r="T13" s="149">
        <v>0.92</v>
      </c>
      <c r="U13" s="149">
        <v>0.99</v>
      </c>
      <c r="V13" s="149">
        <v>0.36</v>
      </c>
      <c r="W13" s="120"/>
      <c r="X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176">
        <v>0.95</v>
      </c>
      <c r="T14" s="149">
        <v>0.95</v>
      </c>
      <c r="U14" s="149">
        <v>0.1</v>
      </c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324">
        <v>7.5999999999999998E-2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F20" s="89"/>
      <c r="G20" s="89"/>
      <c r="H20" s="89"/>
    </row>
    <row r="23" spans="1:24">
      <c r="G23" s="91"/>
    </row>
    <row r="25" spans="1:24">
      <c r="D25" s="18"/>
    </row>
    <row r="26" spans="1:24">
      <c r="D26" s="18"/>
      <c r="F26" s="94"/>
    </row>
    <row r="27" spans="1:24">
      <c r="D27" s="90"/>
    </row>
  </sheetData>
  <mergeCells count="14">
    <mergeCell ref="D13:D15"/>
    <mergeCell ref="B2:V2"/>
    <mergeCell ref="B5:B10"/>
    <mergeCell ref="D5:D6"/>
    <mergeCell ref="D7:D8"/>
    <mergeCell ref="D9:D10"/>
    <mergeCell ref="B11:B12"/>
    <mergeCell ref="D11:D12"/>
    <mergeCell ref="A1:B1"/>
    <mergeCell ref="A16:B16"/>
    <mergeCell ref="A17:B17"/>
    <mergeCell ref="A18:B18"/>
    <mergeCell ref="A19:B19"/>
    <mergeCell ref="B13:B15"/>
  </mergeCells>
  <conditionalFormatting sqref="F4:R4">
    <cfRule type="cellIs" dxfId="158" priority="9" stopIfTrue="1" operator="between">
      <formula>0.22</formula>
      <formula>0.32</formula>
    </cfRule>
    <cfRule type="cellIs" dxfId="157" priority="12" stopIfTrue="1" operator="notBetween">
      <formula>0.22</formula>
      <formula>0.32</formula>
    </cfRule>
  </conditionalFormatting>
  <conditionalFormatting sqref="F4:R15">
    <cfRule type="beginsWith" dxfId="156" priority="1" stopIfTrue="1" operator="beginsWith" text="NA">
      <formula>LEFT(F4,LEN("NA"))="NA"</formula>
    </cfRule>
    <cfRule type="containsBlanks" dxfId="155" priority="2" stopIfTrue="1">
      <formula>LEN(TRIM(F4))=0</formula>
    </cfRule>
  </conditionalFormatting>
  <conditionalFormatting sqref="F5:R10">
    <cfRule type="cellIs" dxfId="154" priority="10" stopIfTrue="1" operator="greaterThan">
      <formula>$E5</formula>
    </cfRule>
    <cfRule type="cellIs" dxfId="153" priority="11" stopIfTrue="1" operator="lessThan">
      <formula>$E5</formula>
    </cfRule>
  </conditionalFormatting>
  <conditionalFormatting sqref="F11:R12">
    <cfRule type="cellIs" dxfId="152" priority="7" stopIfTrue="1" operator="lessThan">
      <formula>$E11</formula>
    </cfRule>
    <cfRule type="cellIs" dxfId="151" priority="8" stopIfTrue="1" operator="greaterThan">
      <formula>$E11</formula>
    </cfRule>
  </conditionalFormatting>
  <conditionalFormatting sqref="F13:R14">
    <cfRule type="cellIs" dxfId="150" priority="5" stopIfTrue="1" operator="greaterThan">
      <formula>$E13</formula>
    </cfRule>
    <cfRule type="cellIs" dxfId="149" priority="6" stopIfTrue="1" operator="lessThan">
      <formula>$E13</formula>
    </cfRule>
  </conditionalFormatting>
  <conditionalFormatting sqref="F15:R15">
    <cfRule type="cellIs" dxfId="148" priority="3" stopIfTrue="1" operator="lessThan">
      <formula>$E$15</formula>
    </cfRule>
    <cfRule type="cellIs" dxfId="147" priority="4" stopIfTrue="1" operator="greaterThan">
      <formula>$E$15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6A94-FAFD-4B42-9CB4-428ED17E41D3}">
  <sheetPr codeName="Sheet11"/>
  <dimension ref="A1:X25"/>
  <sheetViews>
    <sheetView showGridLines="0" zoomScaleNormal="100" workbookViewId="0">
      <selection activeCell="E13" sqref="E13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6.5" customWidth="1"/>
    <col min="4" max="4" width="12" bestFit="1" customWidth="1"/>
    <col min="5" max="5" width="9" bestFit="1" customWidth="1"/>
    <col min="6" max="6" width="7.6640625" style="2" customWidth="1"/>
    <col min="7" max="7" width="7" style="2" bestFit="1" customWidth="1"/>
    <col min="8" max="8" width="7.33203125" style="2" bestFit="1" customWidth="1"/>
    <col min="9" max="9" width="8" style="2" customWidth="1"/>
    <col min="10" max="10" width="8.33203125" style="2" customWidth="1"/>
    <col min="11" max="11" width="7.5" style="2" customWidth="1"/>
    <col min="12" max="12" width="8.5" style="2" customWidth="1"/>
    <col min="13" max="13" width="7.6640625" style="2" customWidth="1"/>
    <col min="14" max="14" width="7.1640625" style="2" customWidth="1"/>
    <col min="15" max="15" width="7.5" style="2" customWidth="1"/>
    <col min="16" max="16" width="7" style="2" bestFit="1" customWidth="1"/>
    <col min="17" max="17" width="7.1640625" style="2" bestFit="1" customWidth="1"/>
    <col min="18" max="20" width="8.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16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12" t="s">
        <v>26</v>
      </c>
      <c r="C4" s="6" t="s">
        <v>27</v>
      </c>
      <c r="D4" s="132" t="s">
        <v>28</v>
      </c>
      <c r="E4" s="213" t="s">
        <v>29</v>
      </c>
      <c r="F4" s="257">
        <f>IFERROR(SUMIFS(Database!$O:$O, Database!$N:$N,"*" &amp; $X$1 &amp; "*", Database!$L:$L, MONTH(F$3)) / SUMIFS(Database!$P:$P, Database!$N:$N,"*" &amp; $X$1 &amp; "*", Database!$L:$L, MONTH(F$3)), "NA")</f>
        <v>0.18640949462312098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0.18640949462312098</v>
      </c>
      <c r="S4" s="189"/>
      <c r="T4" s="175">
        <v>0.23</v>
      </c>
      <c r="U4" s="175">
        <v>0.22</v>
      </c>
      <c r="V4" s="175">
        <v>0.31</v>
      </c>
    </row>
    <row r="5" spans="1:24" s="3" customFormat="1" ht="18" customHeight="1">
      <c r="A5" s="120"/>
      <c r="B5" s="425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1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1</v>
      </c>
      <c r="S5" s="214">
        <v>1</v>
      </c>
      <c r="T5" s="215">
        <v>1</v>
      </c>
      <c r="U5" s="215">
        <v>0.84</v>
      </c>
      <c r="V5" s="216">
        <v>0.98</v>
      </c>
    </row>
    <row r="6" spans="1:24" s="3" customFormat="1" ht="18" customHeight="1">
      <c r="A6" s="120"/>
      <c r="B6" s="426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"NA")</f>
        <v>0.96436302984798483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0.96436302984798483</v>
      </c>
      <c r="S6" s="148"/>
      <c r="T6" s="149">
        <v>0.65</v>
      </c>
      <c r="U6" s="149">
        <v>0.77</v>
      </c>
      <c r="V6" s="217">
        <v>0.65</v>
      </c>
    </row>
    <row r="7" spans="1:24" s="3" customFormat="1" ht="18" customHeight="1">
      <c r="A7" s="120"/>
      <c r="B7" s="426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0.83</v>
      </c>
      <c r="U7" s="156">
        <v>0.59</v>
      </c>
      <c r="V7" s="218">
        <v>0.71</v>
      </c>
    </row>
    <row r="8" spans="1:24" s="3" customFormat="1" ht="18" customHeight="1">
      <c r="A8" s="120"/>
      <c r="B8" s="426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148"/>
      <c r="T8" s="158">
        <v>0.75</v>
      </c>
      <c r="U8" s="158">
        <v>0.39</v>
      </c>
      <c r="V8" s="220">
        <v>0.23</v>
      </c>
    </row>
    <row r="9" spans="1:24" s="3" customFormat="1" ht="18" customHeight="1">
      <c r="A9" s="120"/>
      <c r="B9" s="426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0.11700000000000001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0.11700000000000001</v>
      </c>
      <c r="S9" s="162"/>
      <c r="T9" s="149">
        <v>0.06</v>
      </c>
      <c r="U9" s="149">
        <v>0.23</v>
      </c>
      <c r="V9" s="217">
        <v>0.37</v>
      </c>
    </row>
    <row r="10" spans="1:24" s="3" customFormat="1" ht="18" customHeight="1" thickBot="1">
      <c r="A10" s="120"/>
      <c r="B10" s="427"/>
      <c r="C10" s="97" t="s">
        <v>40</v>
      </c>
      <c r="D10" s="389"/>
      <c r="E10" s="163">
        <v>0.45</v>
      </c>
      <c r="F10" s="267">
        <f>_xlfn.XLOOKUP($X$1, Database!$AG$29:$AG$44,Database!AI$29:AI$44)</f>
        <v>0.498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326" t="str">
        <f>IF(_xlfn.XLOOKUP($X$1, Database!$AG$29:$AG$44,Database!AL$29:AL$44)=0,"",_xlfn.XLOOKUP($X$1, Database!$AG$29:$AG$44,Database!AL$29:AL$44))</f>
        <v/>
      </c>
      <c r="J10" s="327" t="str">
        <f>IF(_xlfn.XLOOKUP($X$1, Database!$AG$29:$AG$44,Database!AM$29:AM$44)=0,"",_xlfn.XLOOKUP($X$1, Database!$AG$29:$AG$44,Database!AM$29:AM$44))</f>
        <v/>
      </c>
      <c r="K10" s="345" t="str">
        <f>IF(_xlfn.XLOOKUP($X$1, Database!$AG$29:$AG$44,Database!AN$29:AN$44)=0,"",_xlfn.XLOOKUP($X$1, Database!$AG$29:$AG$44,Database!AN$29:AN$44))</f>
        <v/>
      </c>
      <c r="L10" s="326" t="str">
        <f>IF(_xlfn.XLOOKUP($X$1, Database!$AG$29:$AG$44,Database!AO$29:AO$44)=0,"",_xlfn.XLOOKUP($X$1, Database!$AG$29:$AG$44,Database!AO$29:AO$44))</f>
        <v/>
      </c>
      <c r="M10" s="327" t="str">
        <f>IF(_xlfn.XLOOKUP($X$1, Database!$AG$29:$AG$44,Database!AP$29:AP$44)=0,"",_xlfn.XLOOKUP($X$1, Database!$AG$29:$AG$44,Database!AP$29:AP$44))</f>
        <v/>
      </c>
      <c r="N10" s="328" t="str">
        <f>IF(_xlfn.XLOOKUP($X$1, Database!$AG$29:$AG$44,Database!AQ$29:AQ$44)=0,"",_xlfn.XLOOKUP($X$1, Database!$AG$29:$AG$44,Database!AQ$29:AQ$44))</f>
        <v/>
      </c>
      <c r="O10" s="326" t="str">
        <f>IF(_xlfn.XLOOKUP($X$1, Database!$AG$29:$AG$44,Database!AR$29:AR$44)=0,"",_xlfn.XLOOKUP($X$1, Database!$AG$29:$AG$44,Database!AR$29:AR$44))</f>
        <v/>
      </c>
      <c r="P10" s="327" t="str">
        <f>IF(_xlfn.XLOOKUP($X$1, Database!$AG$29:$AG$44,Database!AS$29:AS$44)=0,"",_xlfn.XLOOKUP($X$1, Database!$AG$29:$AG$44,Database!AS$29:AS$44))</f>
        <v/>
      </c>
      <c r="Q10" s="328" t="str">
        <f>IF(_xlfn.XLOOKUP($X$1, Database!$AG$29:$AG$44,Database!AT$29:AT$44)=0,"",_xlfn.XLOOKUP($X$1, Database!$AG$29:$AG$44,Database!AT$29:AT$44))</f>
        <v/>
      </c>
      <c r="R10" s="329">
        <f>IFERROR(_xlfn.XLOOKUP($X$1, Database!$AG$29:$AG$44,Database!AH$29:AH$44),"NA")</f>
        <v>0.498</v>
      </c>
      <c r="S10" s="199"/>
      <c r="T10" s="325">
        <v>0.03</v>
      </c>
      <c r="U10" s="200" t="s">
        <v>30</v>
      </c>
      <c r="V10" s="201" t="s">
        <v>30</v>
      </c>
    </row>
    <row r="11" spans="1:24" s="3" customFormat="1" ht="18" customHeight="1">
      <c r="A11" s="120"/>
      <c r="B11" s="384" t="s">
        <v>44</v>
      </c>
      <c r="C11" s="7" t="s">
        <v>45</v>
      </c>
      <c r="D11" s="387" t="s">
        <v>46</v>
      </c>
      <c r="E11" s="191">
        <v>0.8</v>
      </c>
      <c r="F11" s="303">
        <v>1</v>
      </c>
      <c r="G11" s="304"/>
      <c r="H11" s="305"/>
      <c r="I11" s="306"/>
      <c r="J11" s="268"/>
      <c r="K11" s="279"/>
      <c r="L11" s="306"/>
      <c r="M11" s="268"/>
      <c r="N11" s="279"/>
      <c r="O11" s="306"/>
      <c r="P11" s="268"/>
      <c r="Q11" s="282"/>
      <c r="R11" s="279">
        <v>1</v>
      </c>
      <c r="S11" s="162"/>
      <c r="T11" s="149">
        <v>1</v>
      </c>
      <c r="U11" s="149">
        <v>0.2</v>
      </c>
      <c r="V11" s="149">
        <v>0.28999999999999998</v>
      </c>
    </row>
    <row r="12" spans="1:24" s="3" customFormat="1" ht="18" customHeight="1">
      <c r="A12" s="120"/>
      <c r="B12" s="385"/>
      <c r="C12" s="7" t="s">
        <v>47</v>
      </c>
      <c r="D12" s="388"/>
      <c r="E12" s="191">
        <v>0.9</v>
      </c>
      <c r="F12" s="307" t="s">
        <v>30</v>
      </c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 t="s">
        <v>30</v>
      </c>
      <c r="S12" s="176">
        <v>1</v>
      </c>
      <c r="T12" s="149">
        <v>1</v>
      </c>
      <c r="U12" s="149">
        <v>0</v>
      </c>
      <c r="V12" s="174" t="s">
        <v>30</v>
      </c>
    </row>
    <row r="13" spans="1:24" s="3" customFormat="1" ht="18" customHeight="1" thickBot="1">
      <c r="A13" s="120"/>
      <c r="B13" s="386"/>
      <c r="C13" s="1" t="s">
        <v>48</v>
      </c>
      <c r="D13" s="389"/>
      <c r="E13" s="203">
        <v>0.05</v>
      </c>
      <c r="F13" s="352">
        <v>6.4999999999999997E-3</v>
      </c>
      <c r="G13" s="311"/>
      <c r="H13" s="312"/>
      <c r="I13" s="313"/>
      <c r="J13" s="314"/>
      <c r="K13" s="315"/>
      <c r="L13" s="313"/>
      <c r="M13" s="314"/>
      <c r="N13" s="315"/>
      <c r="O13" s="316"/>
      <c r="P13" s="314"/>
      <c r="Q13" s="317"/>
      <c r="R13" s="315">
        <v>6.4999999999999997E-3</v>
      </c>
      <c r="S13" s="181"/>
      <c r="T13" s="324">
        <v>2.4E-2</v>
      </c>
      <c r="U13" s="165" t="s">
        <v>30</v>
      </c>
      <c r="V13" s="165" t="s">
        <v>30</v>
      </c>
    </row>
    <row r="14" spans="1:24">
      <c r="A14" s="383"/>
      <c r="B14" s="383"/>
      <c r="C14" s="118"/>
      <c r="D14" s="118"/>
      <c r="E14" s="118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223"/>
      <c r="T14" s="223"/>
      <c r="U14" s="119"/>
      <c r="V14" s="119"/>
    </row>
    <row r="15" spans="1:24">
      <c r="A15" s="383"/>
      <c r="B15" s="383"/>
      <c r="C15" s="20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223"/>
      <c r="T15" s="223"/>
      <c r="U15" s="119"/>
      <c r="V15" s="119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223"/>
      <c r="T16" s="223"/>
      <c r="U16" s="119"/>
      <c r="V16" s="119"/>
    </row>
    <row r="17" spans="1:22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 spans="1:22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</row>
    <row r="21" spans="1:22">
      <c r="A21" s="383"/>
      <c r="B21" s="383"/>
      <c r="C21" s="118"/>
      <c r="D21" s="11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</row>
    <row r="22" spans="1:22">
      <c r="A22" s="383"/>
      <c r="B22" s="383"/>
      <c r="C22" s="118"/>
      <c r="D22" s="118"/>
      <c r="E22" s="118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</row>
    <row r="23" spans="1:22">
      <c r="A23" s="383"/>
      <c r="B23" s="383"/>
      <c r="C23" s="118"/>
      <c r="D23" s="13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</row>
    <row r="24" spans="1:22">
      <c r="D24" s="18"/>
      <c r="F24" s="94"/>
    </row>
    <row r="25" spans="1:22">
      <c r="D25" s="90"/>
    </row>
  </sheetData>
  <mergeCells count="18">
    <mergeCell ref="A21:B21"/>
    <mergeCell ref="A22:B22"/>
    <mergeCell ref="A23:B23"/>
    <mergeCell ref="D11:D13"/>
    <mergeCell ref="B2:V2"/>
    <mergeCell ref="B5:B10"/>
    <mergeCell ref="D5:D6"/>
    <mergeCell ref="D7:D8"/>
    <mergeCell ref="D9:D10"/>
    <mergeCell ref="A18:B18"/>
    <mergeCell ref="A19:B19"/>
    <mergeCell ref="A20:B20"/>
    <mergeCell ref="A1:B1"/>
    <mergeCell ref="A14:B14"/>
    <mergeCell ref="A15:B15"/>
    <mergeCell ref="A16:B16"/>
    <mergeCell ref="A17:B17"/>
    <mergeCell ref="B11:B13"/>
  </mergeCells>
  <conditionalFormatting sqref="F4:R4">
    <cfRule type="cellIs" dxfId="146" priority="3" stopIfTrue="1" operator="between">
      <formula>0.22</formula>
      <formula>0.32</formula>
    </cfRule>
    <cfRule type="cellIs" dxfId="145" priority="6" stopIfTrue="1" operator="notBetween">
      <formula>0.22</formula>
      <formula>0.32</formula>
    </cfRule>
  </conditionalFormatting>
  <conditionalFormatting sqref="F4:R13">
    <cfRule type="beginsWith" dxfId="144" priority="1" stopIfTrue="1" operator="beginsWith" text="NA">
      <formula>LEFT(F4,LEN("NA"))="NA"</formula>
    </cfRule>
    <cfRule type="containsBlanks" dxfId="143" priority="2" stopIfTrue="1">
      <formula>LEN(TRIM(F4))=0</formula>
    </cfRule>
  </conditionalFormatting>
  <conditionalFormatting sqref="F5:R12">
    <cfRule type="cellIs" dxfId="142" priority="4" stopIfTrue="1" operator="greaterThan">
      <formula>$E5</formula>
    </cfRule>
    <cfRule type="cellIs" dxfId="141" priority="5" stopIfTrue="1" operator="lessThan">
      <formula>$E5</formula>
    </cfRule>
  </conditionalFormatting>
  <conditionalFormatting sqref="F13:R13">
    <cfRule type="cellIs" dxfId="140" priority="9" operator="lessThan">
      <formula>$E$13</formula>
    </cfRule>
    <cfRule type="cellIs" dxfId="139" priority="10" operator="greaterThan">
      <formula>$E$13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CBCD-A35D-4B28-812A-E30A3681F9E6}">
  <sheetPr codeName="Sheet12"/>
  <dimension ref="B1:T36"/>
  <sheetViews>
    <sheetView showGridLines="0" zoomScale="70" zoomScaleNormal="7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G14" sqref="G14"/>
    </sheetView>
  </sheetViews>
  <sheetFormatPr baseColWidth="10" defaultColWidth="8.6640625" defaultRowHeight="15"/>
  <cols>
    <col min="1" max="1" width="1.5" customWidth="1"/>
    <col min="2" max="2" width="29.5" bestFit="1" customWidth="1"/>
    <col min="3" max="3" width="55.5" bestFit="1" customWidth="1"/>
    <col min="4" max="4" width="14" bestFit="1" customWidth="1"/>
    <col min="5" max="5" width="11.5" customWidth="1"/>
    <col min="6" max="14" width="13.5" style="2" customWidth="1"/>
    <col min="15" max="15" width="15.5" style="2" customWidth="1"/>
    <col min="16" max="20" width="13.5" style="2" customWidth="1"/>
  </cols>
  <sheetData>
    <row r="1" spans="2:20" ht="16" thickBot="1"/>
    <row r="2" spans="2:20" s="3" customFormat="1" ht="25.25" customHeight="1" thickBot="1">
      <c r="B2" s="436" t="s">
        <v>55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8"/>
    </row>
    <row r="3" spans="2:20" s="3" customFormat="1" ht="23" customHeight="1" thickBot="1">
      <c r="B3" s="4" t="s">
        <v>8</v>
      </c>
      <c r="C3" s="12" t="s">
        <v>9</v>
      </c>
      <c r="D3" s="12" t="s">
        <v>10</v>
      </c>
      <c r="E3" s="23" t="s">
        <v>11</v>
      </c>
      <c r="F3" s="60">
        <v>45292</v>
      </c>
      <c r="G3" s="61">
        <v>45323</v>
      </c>
      <c r="H3" s="62">
        <v>45352</v>
      </c>
      <c r="I3" s="60">
        <v>45383</v>
      </c>
      <c r="J3" s="61">
        <v>45413</v>
      </c>
      <c r="K3" s="62">
        <v>45444</v>
      </c>
      <c r="L3" s="60">
        <v>45474</v>
      </c>
      <c r="M3" s="61">
        <v>45505</v>
      </c>
      <c r="N3" s="62">
        <v>45536</v>
      </c>
      <c r="O3" s="63">
        <v>45566</v>
      </c>
      <c r="P3" s="61">
        <v>45597</v>
      </c>
      <c r="Q3" s="62">
        <v>45627</v>
      </c>
      <c r="R3" s="62" t="s">
        <v>3</v>
      </c>
      <c r="S3" s="31" t="s">
        <v>25</v>
      </c>
      <c r="T3" s="12" t="s">
        <v>56</v>
      </c>
    </row>
    <row r="4" spans="2:20" s="3" customFormat="1" ht="18" customHeight="1" thickBot="1">
      <c r="B4" s="11" t="s">
        <v>26</v>
      </c>
      <c r="C4" s="5" t="s">
        <v>27</v>
      </c>
      <c r="D4" s="10" t="s">
        <v>57</v>
      </c>
      <c r="E4" s="24" t="s">
        <v>58</v>
      </c>
      <c r="F4" s="64" t="s">
        <v>30</v>
      </c>
      <c r="G4" s="65" t="s">
        <v>30</v>
      </c>
      <c r="H4" s="66"/>
      <c r="I4" s="64"/>
      <c r="J4" s="65"/>
      <c r="K4" s="66"/>
      <c r="L4" s="64"/>
      <c r="M4" s="65"/>
      <c r="N4" s="66"/>
      <c r="O4" s="67"/>
      <c r="P4" s="65"/>
      <c r="Q4" s="66"/>
      <c r="R4" s="66" t="s">
        <v>30</v>
      </c>
      <c r="S4" s="32">
        <v>0.32</v>
      </c>
      <c r="T4" s="19">
        <v>0.32</v>
      </c>
    </row>
    <row r="5" spans="2:20" s="3" customFormat="1" ht="18" customHeight="1">
      <c r="B5" s="439" t="s">
        <v>31</v>
      </c>
      <c r="C5" s="6" t="s">
        <v>59</v>
      </c>
      <c r="D5" s="433" t="s">
        <v>57</v>
      </c>
      <c r="E5" s="25">
        <v>0.8</v>
      </c>
      <c r="F5" s="84" t="s">
        <v>30</v>
      </c>
      <c r="G5" s="69" t="s">
        <v>30</v>
      </c>
      <c r="H5" s="70"/>
      <c r="I5" s="68"/>
      <c r="J5" s="69"/>
      <c r="K5" s="70"/>
      <c r="L5" s="68"/>
      <c r="M5" s="69"/>
      <c r="N5" s="70"/>
      <c r="O5" s="71"/>
      <c r="P5" s="69"/>
      <c r="Q5" s="70"/>
      <c r="R5" s="70" t="s">
        <v>30</v>
      </c>
      <c r="S5" s="77">
        <v>0.84</v>
      </c>
      <c r="T5" s="21">
        <v>0.98</v>
      </c>
    </row>
    <row r="6" spans="2:20" s="3" customFormat="1" ht="18" customHeight="1">
      <c r="B6" s="440"/>
      <c r="C6" s="7" t="s">
        <v>34</v>
      </c>
      <c r="D6" s="434"/>
      <c r="E6" s="26">
        <v>0.8</v>
      </c>
      <c r="F6" s="53" t="s">
        <v>30</v>
      </c>
      <c r="G6" s="43" t="s">
        <v>30</v>
      </c>
      <c r="H6" s="54"/>
      <c r="I6" s="53"/>
      <c r="J6" s="43"/>
      <c r="K6" s="54"/>
      <c r="L6" s="53"/>
      <c r="M6" s="43"/>
      <c r="N6" s="54"/>
      <c r="O6" s="46"/>
      <c r="P6" s="43"/>
      <c r="Q6" s="54"/>
      <c r="R6" s="54" t="s">
        <v>30</v>
      </c>
      <c r="S6" s="40">
        <v>0.40200000000000002</v>
      </c>
      <c r="T6" s="22">
        <v>0.36</v>
      </c>
    </row>
    <row r="7" spans="2:20" s="3" customFormat="1" ht="18" customHeight="1">
      <c r="B7" s="440"/>
      <c r="C7" s="8" t="s">
        <v>35</v>
      </c>
      <c r="D7" s="442" t="s">
        <v>36</v>
      </c>
      <c r="E7" s="27">
        <v>0.8</v>
      </c>
      <c r="F7" s="51" t="s">
        <v>30</v>
      </c>
      <c r="G7" s="47" t="s">
        <v>30</v>
      </c>
      <c r="H7" s="52"/>
      <c r="I7" s="51"/>
      <c r="J7" s="47"/>
      <c r="K7" s="52"/>
      <c r="L7" s="51"/>
      <c r="M7" s="47"/>
      <c r="N7" s="52"/>
      <c r="O7" s="48"/>
      <c r="P7" s="47"/>
      <c r="Q7" s="52"/>
      <c r="R7" s="52" t="s">
        <v>30</v>
      </c>
      <c r="S7" s="35">
        <v>0.71</v>
      </c>
      <c r="T7" s="15" t="s">
        <v>30</v>
      </c>
    </row>
    <row r="8" spans="2:20" s="3" customFormat="1" ht="18" customHeight="1">
      <c r="B8" s="440"/>
      <c r="C8" s="9" t="s">
        <v>37</v>
      </c>
      <c r="D8" s="443"/>
      <c r="E8" s="28">
        <v>0.8</v>
      </c>
      <c r="F8" s="53" t="s">
        <v>30</v>
      </c>
      <c r="G8" s="43" t="s">
        <v>30</v>
      </c>
      <c r="H8" s="54"/>
      <c r="I8" s="53"/>
      <c r="J8" s="43"/>
      <c r="K8" s="54"/>
      <c r="L8" s="53"/>
      <c r="M8" s="43"/>
      <c r="N8" s="54"/>
      <c r="O8" s="46"/>
      <c r="P8" s="43"/>
      <c r="Q8" s="54"/>
      <c r="R8" s="54" t="s">
        <v>30</v>
      </c>
      <c r="S8" s="36">
        <v>0.5</v>
      </c>
      <c r="T8" s="16">
        <v>0.51</v>
      </c>
    </row>
    <row r="9" spans="2:20" s="3" customFormat="1" ht="18" customHeight="1">
      <c r="B9" s="440"/>
      <c r="C9" s="7" t="s">
        <v>60</v>
      </c>
      <c r="D9" s="434" t="s">
        <v>39</v>
      </c>
      <c r="E9" s="26">
        <v>0.25</v>
      </c>
      <c r="F9" s="49" t="s">
        <v>30</v>
      </c>
      <c r="G9" s="41" t="s">
        <v>30</v>
      </c>
      <c r="H9" s="50"/>
      <c r="I9" s="49"/>
      <c r="J9" s="41"/>
      <c r="K9" s="50"/>
      <c r="L9" s="49"/>
      <c r="M9" s="41"/>
      <c r="N9" s="50"/>
      <c r="O9" s="44"/>
      <c r="P9" s="41"/>
      <c r="Q9" s="50"/>
      <c r="R9" s="50" t="s">
        <v>30</v>
      </c>
      <c r="S9" s="34">
        <v>0.31691249999999999</v>
      </c>
      <c r="T9" s="14" t="s">
        <v>30</v>
      </c>
    </row>
    <row r="10" spans="2:20" s="3" customFormat="1" ht="18" customHeight="1" thickBot="1">
      <c r="B10" s="441"/>
      <c r="C10" s="1" t="s">
        <v>61</v>
      </c>
      <c r="D10" s="435"/>
      <c r="E10" s="29" t="s">
        <v>62</v>
      </c>
      <c r="F10" s="57" t="s">
        <v>30</v>
      </c>
      <c r="G10" s="58" t="s">
        <v>30</v>
      </c>
      <c r="H10" s="59"/>
      <c r="I10" s="57"/>
      <c r="J10" s="58"/>
      <c r="K10" s="59"/>
      <c r="L10" s="57"/>
      <c r="M10" s="58"/>
      <c r="N10" s="59"/>
      <c r="O10" s="72"/>
      <c r="P10" s="58"/>
      <c r="Q10" s="59"/>
      <c r="R10" s="59" t="s">
        <v>30</v>
      </c>
      <c r="S10" s="37">
        <v>0.87696249999999998</v>
      </c>
      <c r="T10" s="17" t="s">
        <v>30</v>
      </c>
    </row>
    <row r="11" spans="2:20" s="3" customFormat="1" ht="18" hidden="1" customHeight="1">
      <c r="B11" s="444" t="s">
        <v>50</v>
      </c>
      <c r="C11" s="7" t="s">
        <v>42</v>
      </c>
      <c r="D11" s="434" t="s">
        <v>63</v>
      </c>
      <c r="E11" s="30">
        <v>50.5</v>
      </c>
      <c r="F11" s="73"/>
      <c r="G11" s="74"/>
      <c r="H11" s="75"/>
      <c r="I11" s="73"/>
      <c r="J11" s="74"/>
      <c r="K11" s="75"/>
      <c r="L11" s="73"/>
      <c r="M11" s="74"/>
      <c r="N11" s="75"/>
      <c r="O11" s="76"/>
      <c r="P11" s="74"/>
      <c r="Q11" s="75"/>
      <c r="R11" s="75"/>
      <c r="S11" s="38" t="s">
        <v>30</v>
      </c>
      <c r="T11" s="14" t="s">
        <v>30</v>
      </c>
    </row>
    <row r="12" spans="2:20" s="3" customFormat="1" ht="18" hidden="1" customHeight="1">
      <c r="B12" s="444"/>
      <c r="C12" s="7" t="s">
        <v>43</v>
      </c>
      <c r="D12" s="434"/>
      <c r="E12" s="30">
        <v>5.7</v>
      </c>
      <c r="F12" s="55"/>
      <c r="G12" s="42"/>
      <c r="H12" s="56"/>
      <c r="I12" s="55"/>
      <c r="J12" s="42"/>
      <c r="K12" s="56"/>
      <c r="L12" s="55"/>
      <c r="M12" s="42"/>
      <c r="N12" s="56"/>
      <c r="O12" s="45"/>
      <c r="P12" s="42"/>
      <c r="Q12" s="56"/>
      <c r="R12" s="56"/>
      <c r="S12" s="38" t="s">
        <v>30</v>
      </c>
      <c r="T12" s="14" t="s">
        <v>30</v>
      </c>
    </row>
    <row r="13" spans="2:20" s="3" customFormat="1" ht="18" hidden="1" customHeight="1" thickBot="1">
      <c r="B13" s="445"/>
      <c r="C13" s="1" t="s">
        <v>64</v>
      </c>
      <c r="D13" s="435"/>
      <c r="E13" s="29">
        <v>0.2</v>
      </c>
      <c r="F13" s="57"/>
      <c r="G13" s="58"/>
      <c r="H13" s="59"/>
      <c r="I13" s="57"/>
      <c r="J13" s="58"/>
      <c r="K13" s="59"/>
      <c r="L13" s="57"/>
      <c r="M13" s="58"/>
      <c r="N13" s="59"/>
      <c r="O13" s="72"/>
      <c r="P13" s="58"/>
      <c r="Q13" s="59"/>
      <c r="R13" s="59"/>
      <c r="S13" s="39" t="s">
        <v>30</v>
      </c>
      <c r="T13" s="17" t="s">
        <v>30</v>
      </c>
    </row>
    <row r="14" spans="2:20" s="3" customFormat="1" ht="18" customHeight="1">
      <c r="B14" s="430" t="s">
        <v>44</v>
      </c>
      <c r="C14" s="6" t="s">
        <v>45</v>
      </c>
      <c r="D14" s="433" t="s">
        <v>65</v>
      </c>
      <c r="E14" s="25">
        <v>0.8</v>
      </c>
      <c r="F14" s="68" t="s">
        <v>30</v>
      </c>
      <c r="G14" s="68" t="s">
        <v>30</v>
      </c>
      <c r="H14" s="70"/>
      <c r="I14" s="68"/>
      <c r="J14" s="69"/>
      <c r="K14" s="70"/>
      <c r="L14" s="68"/>
      <c r="M14" s="69"/>
      <c r="N14" s="70"/>
      <c r="O14" s="71"/>
      <c r="P14" s="69"/>
      <c r="Q14" s="70"/>
      <c r="R14" s="77" t="str">
        <f>F14</f>
        <v>NA</v>
      </c>
      <c r="S14" s="33">
        <v>0.13</v>
      </c>
      <c r="T14" s="13" t="s">
        <v>30</v>
      </c>
    </row>
    <row r="15" spans="2:20" s="3" customFormat="1" ht="18" customHeight="1">
      <c r="B15" s="431"/>
      <c r="C15" s="7" t="s">
        <v>66</v>
      </c>
      <c r="D15" s="434"/>
      <c r="E15" s="26">
        <v>0.8</v>
      </c>
      <c r="F15" s="49" t="s">
        <v>30</v>
      </c>
      <c r="G15" s="49" t="s">
        <v>30</v>
      </c>
      <c r="H15" s="50"/>
      <c r="I15" s="49"/>
      <c r="J15" s="41"/>
      <c r="K15" s="50"/>
      <c r="L15" s="49"/>
      <c r="M15" s="41"/>
      <c r="N15" s="50"/>
      <c r="O15" s="44"/>
      <c r="P15" s="41"/>
      <c r="Q15" s="50"/>
      <c r="R15" s="40" t="str">
        <f>F15</f>
        <v>NA</v>
      </c>
      <c r="S15" s="34">
        <v>0.33</v>
      </c>
      <c r="T15" s="14" t="s">
        <v>30</v>
      </c>
    </row>
    <row r="16" spans="2:20" s="3" customFormat="1" ht="18" customHeight="1" thickBot="1">
      <c r="B16" s="432"/>
      <c r="C16" s="1" t="s">
        <v>67</v>
      </c>
      <c r="D16" s="435"/>
      <c r="E16" s="29">
        <v>0.05</v>
      </c>
      <c r="F16" s="57" t="s">
        <v>30</v>
      </c>
      <c r="G16" s="57" t="s">
        <v>30</v>
      </c>
      <c r="H16" s="59"/>
      <c r="I16" s="57"/>
      <c r="J16" s="58"/>
      <c r="K16" s="59"/>
      <c r="L16" s="57"/>
      <c r="M16" s="58"/>
      <c r="N16" s="59"/>
      <c r="O16" s="72"/>
      <c r="P16" s="58"/>
      <c r="Q16" s="59"/>
      <c r="R16" s="79" t="str">
        <f>F16</f>
        <v>NA</v>
      </c>
      <c r="S16" s="39" t="s">
        <v>30</v>
      </c>
      <c r="T16" s="17" t="s">
        <v>30</v>
      </c>
    </row>
    <row r="18" spans="3:20">
      <c r="C18" s="20"/>
    </row>
    <row r="21" spans="3:20"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3:20"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3:20"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3:20"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3:20"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3:20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3:20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3:20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3:20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3:20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3:20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3:20"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customFormat="1"/>
    <row r="34" customFormat="1"/>
    <row r="35" customFormat="1"/>
    <row r="36" customFormat="1"/>
  </sheetData>
  <mergeCells count="9">
    <mergeCell ref="B14:B16"/>
    <mergeCell ref="D14:D16"/>
    <mergeCell ref="B2:T2"/>
    <mergeCell ref="B5:B10"/>
    <mergeCell ref="D5:D6"/>
    <mergeCell ref="D7:D8"/>
    <mergeCell ref="D9:D10"/>
    <mergeCell ref="B11:B13"/>
    <mergeCell ref="D11:D13"/>
  </mergeCells>
  <conditionalFormatting sqref="F4:Q4">
    <cfRule type="cellIs" dxfId="138" priority="76" operator="between">
      <formula>0.29</formula>
      <formula>0.35</formula>
    </cfRule>
    <cfRule type="cellIs" dxfId="137" priority="75" operator="notBetween">
      <formula>0.29</formula>
      <formula>0.35</formula>
    </cfRule>
  </conditionalFormatting>
  <conditionalFormatting sqref="F10:Q10">
    <cfRule type="cellIs" dxfId="136" priority="72" operator="between">
      <formula>0.85</formula>
      <formula>0.95</formula>
    </cfRule>
    <cfRule type="cellIs" dxfId="135" priority="71" operator="notBetween">
      <formula>0.85</formula>
      <formula>0.95</formula>
    </cfRule>
  </conditionalFormatting>
  <conditionalFormatting sqref="F14:Q15">
    <cfRule type="cellIs" dxfId="134" priority="6" operator="lessThan">
      <formula>0.8</formula>
    </cfRule>
    <cfRule type="cellIs" dxfId="133" priority="7" operator="greaterThanOrEqual">
      <formula>0.8</formula>
    </cfRule>
  </conditionalFormatting>
  <conditionalFormatting sqref="F14:Q16">
    <cfRule type="containsText" dxfId="132" priority="2" operator="containsText" text="NA">
      <formula>NOT(ISERROR(SEARCH("NA",F14)))</formula>
    </cfRule>
    <cfRule type="containsBlanks" dxfId="131" priority="3">
      <formula>LEN(TRIM(F14))=0</formula>
    </cfRule>
  </conditionalFormatting>
  <conditionalFormatting sqref="F16:Q16">
    <cfRule type="cellIs" dxfId="130" priority="4" operator="greaterThan">
      <formula>0.05</formula>
    </cfRule>
    <cfRule type="cellIs" dxfId="129" priority="5" operator="lessThanOrEqual">
      <formula>0.05</formula>
    </cfRule>
    <cfRule type="cellIs" dxfId="128" priority="8" operator="lessThan">
      <formula>0.05</formula>
    </cfRule>
    <cfRule type="cellIs" dxfId="127" priority="9" operator="greaterThanOrEqual">
      <formula>0.05</formula>
    </cfRule>
  </conditionalFormatting>
  <conditionalFormatting sqref="F4:R4">
    <cfRule type="cellIs" dxfId="126" priority="47" operator="notBetween">
      <formula>0.29</formula>
      <formula>0.35</formula>
    </cfRule>
    <cfRule type="cellIs" dxfId="125" priority="48" operator="between">
      <formula>0.29</formula>
      <formula>0.35</formula>
    </cfRule>
  </conditionalFormatting>
  <conditionalFormatting sqref="F4:R13">
    <cfRule type="containsText" dxfId="124" priority="23" operator="containsText" text="NA">
      <formula>NOT(ISERROR(SEARCH("NA",F4)))</formula>
    </cfRule>
    <cfRule type="containsBlanks" dxfId="123" priority="24">
      <formula>LEN(TRIM(F4))=0</formula>
    </cfRule>
  </conditionalFormatting>
  <conditionalFormatting sqref="F5:R8">
    <cfRule type="cellIs" dxfId="122" priority="40" operator="greaterThanOrEqual">
      <formula>0.8</formula>
    </cfRule>
    <cfRule type="cellIs" dxfId="121" priority="12" operator="between">
      <formula>0.75</formula>
      <formula>0.799</formula>
    </cfRule>
    <cfRule type="cellIs" dxfId="120" priority="39" operator="lessThan">
      <formula>0.8</formula>
    </cfRule>
  </conditionalFormatting>
  <conditionalFormatting sqref="F9:R9">
    <cfRule type="cellIs" dxfId="119" priority="46" operator="greaterThanOrEqual">
      <formula>0.3</formula>
    </cfRule>
    <cfRule type="cellIs" dxfId="118" priority="45" operator="lessThan">
      <formula>0.3</formula>
    </cfRule>
    <cfRule type="cellIs" dxfId="117" priority="37" operator="lessThan">
      <formula>0.25</formula>
    </cfRule>
    <cfRule type="cellIs" dxfId="116" priority="38" operator="greaterThanOrEqual">
      <formula>0.25</formula>
    </cfRule>
  </conditionalFormatting>
  <conditionalFormatting sqref="F10:R10">
    <cfRule type="cellIs" dxfId="115" priority="44" operator="between">
      <formula>0.85</formula>
      <formula>0.95</formula>
    </cfRule>
    <cfRule type="cellIs" dxfId="114" priority="43" operator="notBetween">
      <formula>0.85</formula>
      <formula>0.95</formula>
    </cfRule>
  </conditionalFormatting>
  <conditionalFormatting sqref="F11:R11">
    <cfRule type="cellIs" dxfId="113" priority="33" operator="greaterThan">
      <formula>$E$11</formula>
    </cfRule>
    <cfRule type="cellIs" dxfId="112" priority="34" operator="lessThanOrEqual">
      <formula>$E$11</formula>
    </cfRule>
  </conditionalFormatting>
  <conditionalFormatting sqref="F12:R12">
    <cfRule type="cellIs" dxfId="111" priority="32" operator="lessThanOrEqual">
      <formula>$E$12</formula>
    </cfRule>
    <cfRule type="cellIs" dxfId="110" priority="31" operator="greaterThan">
      <formula>$E$12</formula>
    </cfRule>
  </conditionalFormatting>
  <conditionalFormatting sqref="F13:R13">
    <cfRule type="cellIs" dxfId="109" priority="26" operator="greaterThanOrEqual">
      <formula>$E$13</formula>
    </cfRule>
    <cfRule type="cellIs" dxfId="108" priority="25" operator="lessThan">
      <formula>$E$13</formula>
    </cfRule>
  </conditionalFormatting>
  <conditionalFormatting sqref="F14:R15">
    <cfRule type="cellIs" dxfId="107" priority="1" operator="between">
      <formula>0.75</formula>
      <formula>0.799</formula>
    </cfRule>
  </conditionalFormatting>
  <conditionalFormatting sqref="R4">
    <cfRule type="cellIs" dxfId="106" priority="28" operator="between">
      <formula>0.29</formula>
      <formula>0.35</formula>
    </cfRule>
    <cfRule type="cellIs" dxfId="105" priority="27" operator="notBetween">
      <formula>0.29</formula>
      <formula>0.35</formula>
    </cfRule>
  </conditionalFormatting>
  <conditionalFormatting sqref="R10">
    <cfRule type="cellIs" dxfId="104" priority="36" operator="between">
      <formula>0.85</formula>
      <formula>0.95</formula>
    </cfRule>
    <cfRule type="cellIs" dxfId="103" priority="35" operator="notBetween">
      <formula>0.85</formula>
      <formula>0.95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30FC-287A-4236-831C-D3E55412631B}">
  <sheetPr codeName="Sheet15"/>
  <dimension ref="B1:T37"/>
  <sheetViews>
    <sheetView showGridLines="0" zoomScale="70" zoomScaleNormal="7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F1" sqref="F1:F1048576"/>
    </sheetView>
  </sheetViews>
  <sheetFormatPr baseColWidth="10" defaultColWidth="8.6640625" defaultRowHeight="15"/>
  <cols>
    <col min="1" max="1" width="1.5" customWidth="1"/>
    <col min="2" max="2" width="29.5" bestFit="1" customWidth="1"/>
    <col min="3" max="3" width="51.5" bestFit="1" customWidth="1"/>
    <col min="4" max="4" width="14" bestFit="1" customWidth="1"/>
    <col min="5" max="5" width="11.5" customWidth="1"/>
    <col min="6" max="14" width="13.5" style="2" customWidth="1"/>
    <col min="15" max="15" width="15.5" style="2" customWidth="1"/>
    <col min="16" max="20" width="13.5" style="2" customWidth="1"/>
  </cols>
  <sheetData>
    <row r="1" spans="2:20" ht="16" thickBot="1"/>
    <row r="2" spans="2:20" s="3" customFormat="1" ht="25.25" customHeight="1" thickBot="1">
      <c r="B2" s="436" t="s">
        <v>55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8"/>
    </row>
    <row r="3" spans="2:20" s="3" customFormat="1" ht="23" customHeight="1" thickBot="1">
      <c r="B3" s="4" t="s">
        <v>8</v>
      </c>
      <c r="C3" s="12" t="s">
        <v>9</v>
      </c>
      <c r="D3" s="12" t="s">
        <v>10</v>
      </c>
      <c r="E3" s="23" t="s">
        <v>11</v>
      </c>
      <c r="F3" s="60">
        <v>45292</v>
      </c>
      <c r="G3" s="61">
        <v>45323</v>
      </c>
      <c r="H3" s="62">
        <v>45352</v>
      </c>
      <c r="I3" s="60">
        <v>45383</v>
      </c>
      <c r="J3" s="61">
        <v>45413</v>
      </c>
      <c r="K3" s="62">
        <v>45444</v>
      </c>
      <c r="L3" s="60">
        <v>45474</v>
      </c>
      <c r="M3" s="61">
        <v>45505</v>
      </c>
      <c r="N3" s="62">
        <v>45536</v>
      </c>
      <c r="O3" s="63">
        <v>45566</v>
      </c>
      <c r="P3" s="61">
        <v>45597</v>
      </c>
      <c r="Q3" s="62">
        <v>45627</v>
      </c>
      <c r="R3" s="62" t="s">
        <v>3</v>
      </c>
      <c r="S3" s="31" t="s">
        <v>25</v>
      </c>
      <c r="T3" s="12" t="s">
        <v>56</v>
      </c>
    </row>
    <row r="4" spans="2:20" s="3" customFormat="1" ht="18" customHeight="1" thickBot="1">
      <c r="B4" s="11" t="s">
        <v>26</v>
      </c>
      <c r="C4" s="5" t="s">
        <v>27</v>
      </c>
      <c r="D4" s="10" t="s">
        <v>68</v>
      </c>
      <c r="E4" s="24" t="s">
        <v>58</v>
      </c>
      <c r="F4" s="64"/>
      <c r="G4" s="65"/>
      <c r="H4" s="66"/>
      <c r="I4" s="64"/>
      <c r="J4" s="65"/>
      <c r="K4" s="66"/>
      <c r="L4" s="64"/>
      <c r="M4" s="65"/>
      <c r="N4" s="66"/>
      <c r="O4" s="67"/>
      <c r="P4" s="65"/>
      <c r="Q4" s="66"/>
      <c r="R4" s="66"/>
      <c r="S4" s="32">
        <v>0.49</v>
      </c>
      <c r="T4" s="19">
        <v>0.39</v>
      </c>
    </row>
    <row r="5" spans="2:20" s="3" customFormat="1" ht="18" customHeight="1">
      <c r="B5" s="439" t="s">
        <v>31</v>
      </c>
      <c r="C5" s="6" t="s">
        <v>59</v>
      </c>
      <c r="D5" s="433" t="s">
        <v>68</v>
      </c>
      <c r="E5" s="25">
        <v>0.8</v>
      </c>
      <c r="F5" s="68"/>
      <c r="G5" s="69"/>
      <c r="H5" s="70"/>
      <c r="I5" s="68"/>
      <c r="J5" s="69"/>
      <c r="K5" s="70"/>
      <c r="L5" s="68"/>
      <c r="M5" s="69"/>
      <c r="N5" s="70"/>
      <c r="O5" s="71"/>
      <c r="P5" s="69"/>
      <c r="Q5" s="70"/>
      <c r="R5" s="70"/>
      <c r="S5" s="77">
        <v>0.92</v>
      </c>
      <c r="T5" s="21">
        <v>0.98</v>
      </c>
    </row>
    <row r="6" spans="2:20" s="3" customFormat="1" ht="18" customHeight="1">
      <c r="B6" s="440"/>
      <c r="C6" s="7" t="s">
        <v>34</v>
      </c>
      <c r="D6" s="434"/>
      <c r="E6" s="26">
        <v>0.8</v>
      </c>
      <c r="F6" s="53"/>
      <c r="G6" s="43"/>
      <c r="H6" s="54"/>
      <c r="I6" s="53"/>
      <c r="J6" s="43"/>
      <c r="K6" s="54"/>
      <c r="L6" s="53"/>
      <c r="M6" s="43"/>
      <c r="N6" s="54"/>
      <c r="O6" s="46"/>
      <c r="P6" s="43"/>
      <c r="Q6" s="54"/>
      <c r="R6" s="54"/>
      <c r="S6" s="40">
        <v>0.69599999999999995</v>
      </c>
      <c r="T6" s="22">
        <v>0.73</v>
      </c>
    </row>
    <row r="7" spans="2:20" s="3" customFormat="1" ht="18" customHeight="1">
      <c r="B7" s="440"/>
      <c r="C7" s="8" t="s">
        <v>35</v>
      </c>
      <c r="D7" s="442" t="s">
        <v>36</v>
      </c>
      <c r="E7" s="27">
        <v>0.8</v>
      </c>
      <c r="F7" s="51"/>
      <c r="G7" s="47"/>
      <c r="H7" s="52"/>
      <c r="I7" s="51"/>
      <c r="J7" s="47"/>
      <c r="K7" s="52"/>
      <c r="L7" s="51"/>
      <c r="M7" s="47"/>
      <c r="N7" s="52"/>
      <c r="O7" s="48"/>
      <c r="P7" s="47"/>
      <c r="Q7" s="52"/>
      <c r="R7" s="52"/>
      <c r="S7" s="35" t="s">
        <v>30</v>
      </c>
      <c r="T7" s="15" t="s">
        <v>30</v>
      </c>
    </row>
    <row r="8" spans="2:20" s="3" customFormat="1" ht="18" customHeight="1">
      <c r="B8" s="440"/>
      <c r="C8" s="9" t="s">
        <v>37</v>
      </c>
      <c r="D8" s="443"/>
      <c r="E8" s="28">
        <v>0.8</v>
      </c>
      <c r="F8" s="53"/>
      <c r="G8" s="43"/>
      <c r="H8" s="54"/>
      <c r="I8" s="53"/>
      <c r="J8" s="43"/>
      <c r="K8" s="54"/>
      <c r="L8" s="53"/>
      <c r="M8" s="43"/>
      <c r="N8" s="54"/>
      <c r="O8" s="46"/>
      <c r="P8" s="43"/>
      <c r="Q8" s="54"/>
      <c r="R8" s="54"/>
      <c r="S8" s="36">
        <v>0.84</v>
      </c>
      <c r="T8" s="16">
        <v>0.57999999999999996</v>
      </c>
    </row>
    <row r="9" spans="2:20" s="3" customFormat="1" ht="18" customHeight="1">
      <c r="B9" s="440"/>
      <c r="C9" s="7" t="s">
        <v>60</v>
      </c>
      <c r="D9" s="434" t="s">
        <v>39</v>
      </c>
      <c r="E9" s="26">
        <v>0.25</v>
      </c>
      <c r="F9" s="49"/>
      <c r="G9" s="41"/>
      <c r="H9" s="50"/>
      <c r="I9" s="49"/>
      <c r="J9" s="41"/>
      <c r="K9" s="50"/>
      <c r="L9" s="49"/>
      <c r="M9" s="41"/>
      <c r="N9" s="50"/>
      <c r="O9" s="44"/>
      <c r="P9" s="41"/>
      <c r="Q9" s="50"/>
      <c r="R9" s="50"/>
      <c r="S9" s="34">
        <v>0.12279999999999999</v>
      </c>
      <c r="T9" s="14" t="s">
        <v>30</v>
      </c>
    </row>
    <row r="10" spans="2:20" s="3" customFormat="1" ht="18" customHeight="1" thickBot="1">
      <c r="B10" s="441"/>
      <c r="C10" s="1" t="s">
        <v>61</v>
      </c>
      <c r="D10" s="435"/>
      <c r="E10" s="29" t="s">
        <v>62</v>
      </c>
      <c r="F10" s="57"/>
      <c r="G10" s="58"/>
      <c r="H10" s="59"/>
      <c r="I10" s="57"/>
      <c r="J10" s="58"/>
      <c r="K10" s="59"/>
      <c r="L10" s="57"/>
      <c r="M10" s="58"/>
      <c r="N10" s="59"/>
      <c r="O10" s="72"/>
      <c r="P10" s="58"/>
      <c r="Q10" s="59"/>
      <c r="R10" s="59"/>
      <c r="S10" s="37">
        <v>1</v>
      </c>
      <c r="T10" s="17" t="s">
        <v>30</v>
      </c>
    </row>
    <row r="11" spans="2:20" s="3" customFormat="1" ht="18" hidden="1" customHeight="1">
      <c r="B11" s="444" t="s">
        <v>50</v>
      </c>
      <c r="C11" s="7" t="s">
        <v>42</v>
      </c>
      <c r="D11" s="434" t="s">
        <v>63</v>
      </c>
      <c r="E11" s="30">
        <v>50.5</v>
      </c>
      <c r="F11" s="73"/>
      <c r="G11" s="74"/>
      <c r="H11" s="75"/>
      <c r="I11" s="73"/>
      <c r="J11" s="74"/>
      <c r="K11" s="75"/>
      <c r="L11" s="73"/>
      <c r="M11" s="74"/>
      <c r="N11" s="75"/>
      <c r="O11" s="76"/>
      <c r="P11" s="74"/>
      <c r="Q11" s="75"/>
      <c r="R11" s="75"/>
      <c r="S11" s="38" t="s">
        <v>30</v>
      </c>
      <c r="T11" s="14" t="s">
        <v>30</v>
      </c>
    </row>
    <row r="12" spans="2:20" s="3" customFormat="1" ht="18" hidden="1" customHeight="1">
      <c r="B12" s="444"/>
      <c r="C12" s="7" t="s">
        <v>43</v>
      </c>
      <c r="D12" s="434"/>
      <c r="E12" s="30">
        <v>5.7</v>
      </c>
      <c r="F12" s="55"/>
      <c r="G12" s="42"/>
      <c r="H12" s="56"/>
      <c r="I12" s="55"/>
      <c r="J12" s="42"/>
      <c r="K12" s="56"/>
      <c r="L12" s="55"/>
      <c r="M12" s="42"/>
      <c r="N12" s="56"/>
      <c r="O12" s="45"/>
      <c r="P12" s="42"/>
      <c r="Q12" s="56"/>
      <c r="R12" s="56"/>
      <c r="S12" s="38" t="s">
        <v>30</v>
      </c>
      <c r="T12" s="14" t="s">
        <v>30</v>
      </c>
    </row>
    <row r="13" spans="2:20" s="3" customFormat="1" ht="18" hidden="1" customHeight="1" thickBot="1">
      <c r="B13" s="445"/>
      <c r="C13" s="1" t="s">
        <v>64</v>
      </c>
      <c r="D13" s="435"/>
      <c r="E13" s="29">
        <v>0.2</v>
      </c>
      <c r="F13" s="57"/>
      <c r="G13" s="58"/>
      <c r="H13" s="59"/>
      <c r="I13" s="57"/>
      <c r="J13" s="58"/>
      <c r="K13" s="59"/>
      <c r="L13" s="57"/>
      <c r="M13" s="58"/>
      <c r="N13" s="59"/>
      <c r="O13" s="72"/>
      <c r="P13" s="58"/>
      <c r="Q13" s="59"/>
      <c r="R13" s="59"/>
      <c r="S13" s="39" t="s">
        <v>30</v>
      </c>
      <c r="T13" s="17" t="s">
        <v>30</v>
      </c>
    </row>
    <row r="14" spans="2:20" s="3" customFormat="1" ht="18" customHeight="1">
      <c r="B14" s="430" t="s">
        <v>44</v>
      </c>
      <c r="C14" s="6" t="s">
        <v>45</v>
      </c>
      <c r="D14" s="433" t="s">
        <v>65</v>
      </c>
      <c r="E14" s="25">
        <v>0.8</v>
      </c>
      <c r="F14" s="68"/>
      <c r="G14" s="69"/>
      <c r="H14" s="70"/>
      <c r="I14" s="68"/>
      <c r="J14" s="69"/>
      <c r="K14" s="70"/>
      <c r="L14" s="68"/>
      <c r="M14" s="69"/>
      <c r="N14" s="70"/>
      <c r="O14" s="71"/>
      <c r="P14" s="69"/>
      <c r="Q14" s="70"/>
      <c r="R14" s="70"/>
      <c r="S14" s="33">
        <v>0</v>
      </c>
      <c r="T14" s="13" t="s">
        <v>30</v>
      </c>
    </row>
    <row r="15" spans="2:20" s="3" customFormat="1" ht="18" customHeight="1">
      <c r="B15" s="431"/>
      <c r="C15" s="7" t="s">
        <v>66</v>
      </c>
      <c r="D15" s="434"/>
      <c r="E15" s="26">
        <v>0.8</v>
      </c>
      <c r="F15" s="49"/>
      <c r="G15" s="41"/>
      <c r="H15" s="50"/>
      <c r="I15" s="49"/>
      <c r="J15" s="41"/>
      <c r="K15" s="50"/>
      <c r="L15" s="49"/>
      <c r="M15" s="41"/>
      <c r="N15" s="50"/>
      <c r="O15" s="44"/>
      <c r="P15" s="41"/>
      <c r="Q15" s="50"/>
      <c r="R15" s="50"/>
      <c r="S15" s="34" t="s">
        <v>30</v>
      </c>
      <c r="T15" s="14" t="s">
        <v>30</v>
      </c>
    </row>
    <row r="16" spans="2:20" s="3" customFormat="1" ht="18" customHeight="1" thickBot="1">
      <c r="B16" s="432"/>
      <c r="C16" s="1" t="s">
        <v>67</v>
      </c>
      <c r="D16" s="435"/>
      <c r="E16" s="29">
        <v>0.05</v>
      </c>
      <c r="F16" s="57"/>
      <c r="G16" s="58"/>
      <c r="H16" s="59"/>
      <c r="I16" s="57"/>
      <c r="J16" s="58"/>
      <c r="K16" s="59"/>
      <c r="L16" s="57"/>
      <c r="M16" s="58"/>
      <c r="N16" s="59"/>
      <c r="O16" s="72"/>
      <c r="P16" s="58"/>
      <c r="Q16" s="59"/>
      <c r="R16" s="59"/>
      <c r="S16" s="39" t="s">
        <v>30</v>
      </c>
      <c r="T16" s="17" t="s">
        <v>30</v>
      </c>
    </row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</sheetData>
  <mergeCells count="9">
    <mergeCell ref="B14:B16"/>
    <mergeCell ref="D14:D16"/>
    <mergeCell ref="B2:T2"/>
    <mergeCell ref="B5:B10"/>
    <mergeCell ref="D5:D6"/>
    <mergeCell ref="D7:D8"/>
    <mergeCell ref="D9:D10"/>
    <mergeCell ref="B11:B13"/>
    <mergeCell ref="D11:D13"/>
  </mergeCells>
  <conditionalFormatting sqref="F4:Q4">
    <cfRule type="cellIs" dxfId="102" priority="54" operator="between">
      <formula>0.29</formula>
      <formula>0.35</formula>
    </cfRule>
    <cfRule type="cellIs" dxfId="101" priority="53" operator="notBetween">
      <formula>0.29</formula>
      <formula>0.35</formula>
    </cfRule>
  </conditionalFormatting>
  <conditionalFormatting sqref="F10:Q10">
    <cfRule type="cellIs" dxfId="100" priority="50" operator="between">
      <formula>0.85</formula>
      <formula>0.95</formula>
    </cfRule>
    <cfRule type="cellIs" dxfId="99" priority="49" operator="notBetween">
      <formula>0.85</formula>
      <formula>0.95</formula>
    </cfRule>
  </conditionalFormatting>
  <conditionalFormatting sqref="F4:R4">
    <cfRule type="cellIs" dxfId="98" priority="26" operator="between">
      <formula>0.29</formula>
      <formula>0.35</formula>
    </cfRule>
    <cfRule type="cellIs" dxfId="97" priority="25" operator="notBetween">
      <formula>0.29</formula>
      <formula>0.35</formula>
    </cfRule>
  </conditionalFormatting>
  <conditionalFormatting sqref="F4:R16">
    <cfRule type="containsText" dxfId="96" priority="1" operator="containsText" text="NA">
      <formula>NOT(ISERROR(SEARCH("NA",F4)))</formula>
    </cfRule>
    <cfRule type="containsBlanks" dxfId="95" priority="2">
      <formula>LEN(TRIM(F4))=0</formula>
    </cfRule>
  </conditionalFormatting>
  <conditionalFormatting sqref="F5:R8 F14:R15">
    <cfRule type="cellIs" dxfId="94" priority="17" operator="lessThan">
      <formula>0.8</formula>
    </cfRule>
    <cfRule type="cellIs" dxfId="93" priority="18" operator="greaterThanOrEqual">
      <formula>0.8</formula>
    </cfRule>
  </conditionalFormatting>
  <conditionalFormatting sqref="F9:R9">
    <cfRule type="cellIs" dxfId="92" priority="15" operator="lessThan">
      <formula>0.25</formula>
    </cfRule>
    <cfRule type="cellIs" dxfId="91" priority="23" operator="lessThan">
      <formula>0.3</formula>
    </cfRule>
    <cfRule type="cellIs" dxfId="90" priority="24" operator="greaterThanOrEqual">
      <formula>0.3</formula>
    </cfRule>
    <cfRule type="cellIs" dxfId="89" priority="16" operator="greaterThanOrEqual">
      <formula>0.25</formula>
    </cfRule>
  </conditionalFormatting>
  <conditionalFormatting sqref="F10:R10">
    <cfRule type="cellIs" dxfId="88" priority="21" operator="notBetween">
      <formula>0.85</formula>
      <formula>0.95</formula>
    </cfRule>
    <cfRule type="cellIs" dxfId="87" priority="22" operator="between">
      <formula>0.85</formula>
      <formula>0.95</formula>
    </cfRule>
  </conditionalFormatting>
  <conditionalFormatting sqref="F11:R11">
    <cfRule type="cellIs" dxfId="86" priority="11" operator="greaterThan">
      <formula>$E$11</formula>
    </cfRule>
    <cfRule type="cellIs" dxfId="85" priority="12" operator="lessThanOrEqual">
      <formula>$E$11</formula>
    </cfRule>
  </conditionalFormatting>
  <conditionalFormatting sqref="F12:R12">
    <cfRule type="cellIs" dxfId="84" priority="9" operator="greaterThan">
      <formula>$E$12</formula>
    </cfRule>
    <cfRule type="cellIs" dxfId="83" priority="10" operator="lessThanOrEqual">
      <formula>$E$12</formula>
    </cfRule>
  </conditionalFormatting>
  <conditionalFormatting sqref="F13:R13">
    <cfRule type="cellIs" dxfId="82" priority="4" operator="greaterThanOrEqual">
      <formula>$E$13</formula>
    </cfRule>
    <cfRule type="cellIs" dxfId="81" priority="3" operator="lessThan">
      <formula>$E$13</formula>
    </cfRule>
  </conditionalFormatting>
  <conditionalFormatting sqref="F16:R16">
    <cfRule type="cellIs" dxfId="80" priority="8" operator="lessThanOrEqual">
      <formula>0.05</formula>
    </cfRule>
    <cfRule type="cellIs" dxfId="79" priority="7" operator="greaterThan">
      <formula>0.05</formula>
    </cfRule>
    <cfRule type="cellIs" dxfId="78" priority="19" operator="lessThan">
      <formula>0.05</formula>
    </cfRule>
    <cfRule type="cellIs" dxfId="77" priority="20" operator="greaterThanOrEqual">
      <formula>0.05</formula>
    </cfRule>
  </conditionalFormatting>
  <conditionalFormatting sqref="R4">
    <cfRule type="cellIs" dxfId="76" priority="6" operator="between">
      <formula>0.29</formula>
      <formula>0.35</formula>
    </cfRule>
    <cfRule type="cellIs" dxfId="75" priority="5" operator="notBetween">
      <formula>0.29</formula>
      <formula>0.35</formula>
    </cfRule>
  </conditionalFormatting>
  <conditionalFormatting sqref="R10">
    <cfRule type="cellIs" dxfId="74" priority="13" operator="notBetween">
      <formula>0.85</formula>
      <formula>0.95</formula>
    </cfRule>
    <cfRule type="cellIs" dxfId="73" priority="14" operator="between">
      <formula>0.85</formula>
      <formula>0.95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5C0D-DF8F-F945-9D44-BA92BFABFE1D}">
  <sheetPr codeName="Sheet16"/>
  <dimension ref="A1:X25"/>
  <sheetViews>
    <sheetView showGridLines="0" zoomScale="93" zoomScaleNormal="130" workbookViewId="0">
      <selection activeCell="E13" sqref="E13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4.1640625" bestFit="1" customWidth="1"/>
    <col min="4" max="4" width="12" bestFit="1" customWidth="1"/>
    <col min="5" max="5" width="11.5" customWidth="1"/>
    <col min="6" max="7" width="7" style="2" bestFit="1" customWidth="1"/>
    <col min="8" max="8" width="7.33203125" style="2" bestFit="1" customWidth="1"/>
    <col min="9" max="9" width="8.33203125" style="2" customWidth="1"/>
    <col min="10" max="10" width="9.33203125" style="2" customWidth="1"/>
    <col min="11" max="11" width="9.5" style="2" customWidth="1"/>
    <col min="12" max="12" width="10.6640625" style="2" customWidth="1"/>
    <col min="13" max="13" width="9.83203125" style="2" customWidth="1"/>
    <col min="14" max="14" width="8.5" style="2" customWidth="1"/>
    <col min="15" max="15" width="6.6640625" style="2" bestFit="1" customWidth="1"/>
    <col min="16" max="16" width="7.5" style="2" customWidth="1"/>
    <col min="17" max="17" width="9" style="2" customWidth="1"/>
    <col min="18" max="20" width="8.5" style="2" customWidth="1"/>
    <col min="21" max="22" width="8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X1" t="s">
        <v>105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84" t="s">
        <v>77</v>
      </c>
      <c r="U3" s="184" t="s">
        <v>24</v>
      </c>
      <c r="V3" s="123" t="s">
        <v>25</v>
      </c>
    </row>
    <row r="4" spans="1:24" s="3" customFormat="1" ht="18" customHeight="1" thickBot="1">
      <c r="A4" s="120"/>
      <c r="B4" s="212" t="s">
        <v>26</v>
      </c>
      <c r="C4" s="6" t="s">
        <v>27</v>
      </c>
      <c r="D4" s="132" t="s">
        <v>28</v>
      </c>
      <c r="E4" s="213" t="s">
        <v>29</v>
      </c>
      <c r="F4" s="257">
        <f>IFERROR(SUMIFS(Database!$O:$O, Database!$N:$N,"*" &amp; $X$1 &amp; "*", Database!$L:$L, MONTH(F$3)) / SUMIFS(Database!$P:$P, Database!$N:$N,"*" &amp; $X$1 &amp; "*", Database!$L:$L, MONTH(F$3)), "NA")</f>
        <v>0.32562303862831554</v>
      </c>
      <c r="G4" s="258" t="str">
        <f>IFERROR(SUMIFS(Database!$O:$O, Database!$N:$N,"*" &amp; $X$1 &amp; "*", Database!$L:$L, MONTH(G$3)) / SUMIFS(Database!$P:$P, Database!$N:$N,"*" &amp; $X$1 &amp; "*", Database!$L:$L, MONTH(G$3)), "")</f>
        <v/>
      </c>
      <c r="H4" s="259" t="str">
        <f>IFERROR(SUMIFS(Database!$O:$O, Database!$N:$N,"*" &amp; $X$1 &amp; "*", Database!$L:$L, MONTH(H$3)) / SUMIFS(Database!$P:$P, Database!$N:$N,"*" &amp; $X$1 &amp; "*", Database!$L:$L, MONTH(H$3)), "")</f>
        <v/>
      </c>
      <c r="I4" s="257" t="str">
        <f>IFERROR(SUMIFS(Database!$O:$O, Database!$N:$N,"*" &amp; $X$1 &amp; "*", Database!$L:$L, MONTH(I$3)) / SUMIFS(Database!$P:$P, Database!$N:$N,"*" &amp; $X$1 &amp; "*", Database!$L:$L, MONTH(I$3)), "")</f>
        <v/>
      </c>
      <c r="J4" s="258" t="str">
        <f>IFERROR(SUMIFS(Database!$O:$O, Database!$N:$N,"*" &amp; $X$1 &amp; "*", Database!$L:$L, MONTH(J$3)) / SUMIFS(Database!$P:$P, Database!$N:$N,"*" &amp; $X$1 &amp; "*", Database!$L:$L, MONTH(J$3)), "")</f>
        <v/>
      </c>
      <c r="K4" s="259" t="str">
        <f>IFERROR(SUMIFS(Database!$O:$O, Database!$N:$N,"*" &amp; $X$1 &amp; "*", Database!$L:$L, MONTH(K$3)) / SUMIFS(Database!$P:$P, Database!$N:$N,"*" &amp; $X$1 &amp; "*", Database!$L:$L, MONTH(K$3)), "")</f>
        <v/>
      </c>
      <c r="L4" s="257" t="str">
        <f>IFERROR(SUMIFS(Database!$O:$O, Database!$N:$N,"*" &amp; $X$1 &amp; "*", Database!$L:$L, MONTH(L$3)) / SUMIFS(Database!$P:$P, Database!$N:$N,"*" &amp; $X$1 &amp; "*", Database!$L:$L, MONTH(L$3)), "")</f>
        <v/>
      </c>
      <c r="M4" s="258" t="str">
        <f>IFERROR(SUMIFS(Database!$O:$O, Database!$N:$N,"*" &amp; $X$1 &amp; "*", Database!$L:$L, MONTH(M$3)) / SUMIFS(Database!$P:$P, Database!$N:$N,"*" &amp; $X$1 &amp; "*", Database!$L:$L, MONTH(M$3)), "")</f>
        <v/>
      </c>
      <c r="N4" s="259" t="str">
        <f>IFERROR(SUMIFS(Database!$O:$O, Database!$N:$N,"*" &amp; $X$1 &amp; "*", Database!$L:$L, MONTH(N$3)) / SUMIFS(Database!$P:$P, Database!$N:$N,"*" &amp; $X$1 &amp; "*", Database!$L:$L, MONTH(N$3)), "")</f>
        <v/>
      </c>
      <c r="O4" s="260" t="str">
        <f>IFERROR(SUMIFS(Database!$O:$O, Database!$N:$N,"*" &amp; $X$1 &amp; "*", Database!$L:$L, MONTH(O$3)) / SUMIFS(Database!$P:$P, Database!$N:$N,"*" &amp; $X$1 &amp; "*", Database!$L:$L, MONTH(O$3)), "")</f>
        <v/>
      </c>
      <c r="P4" s="258" t="str">
        <f>IFERROR(SUMIFS(Database!$O:$O, Database!$N:$N,"*" &amp; $X$1 &amp; "*", Database!$L:$L, MONTH(P$3)) / SUMIFS(Database!$P:$P, Database!$N:$N,"*" &amp; $X$1 &amp; "*", Database!$L:$L, MONTH(P$3)), "")</f>
        <v/>
      </c>
      <c r="Q4" s="259" t="str">
        <f>IFERROR(SUMIFS(Database!$O:$O, Database!$N:$N,"*" &amp; $X$1 &amp; "*", Database!$L:$L, MONTH(Q$3)) / SUMIFS(Database!$P:$P, Database!$N:$N,"*" &amp; $X$1 &amp; "*", Database!$L:$L, MONTH(Q$3)), "")</f>
        <v/>
      </c>
      <c r="R4" s="259">
        <f>IFERROR(SUMIFS(Database!$O:$O, Database!$N:$N,"*"&amp; $X$1&amp;"*") / SUMIFS(Database!$P:$P, Database!$N:$N,"*"&amp; X1&amp;"*"), "NA")</f>
        <v>0.32562303862831554</v>
      </c>
      <c r="S4" s="189"/>
      <c r="T4" s="175">
        <v>0.3</v>
      </c>
      <c r="U4" s="175">
        <v>0.34</v>
      </c>
      <c r="V4" s="175">
        <v>0.28000000000000003</v>
      </c>
    </row>
    <row r="5" spans="1:24" s="3" customFormat="1" ht="18" customHeight="1">
      <c r="A5" s="120"/>
      <c r="B5" s="425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14">
        <v>1</v>
      </c>
      <c r="T5" s="215">
        <v>1</v>
      </c>
      <c r="U5" s="215">
        <v>0.5</v>
      </c>
      <c r="V5" s="216">
        <v>0.9</v>
      </c>
    </row>
    <row r="6" spans="1:24" s="3" customFormat="1" ht="18" customHeight="1">
      <c r="A6" s="120"/>
      <c r="B6" s="426"/>
      <c r="C6" s="9" t="s">
        <v>34</v>
      </c>
      <c r="D6" s="396"/>
      <c r="E6" s="191">
        <v>0.8</v>
      </c>
      <c r="F6" s="264">
        <f>IFERROR(SUMIFS(Database!$H:$H, Database!$B:$B,"*" &amp; $X$1 &amp; "*", Database!$D:$D, MONTH(F$3)) / SUMIFS(Database!$G:$G, Database!$B:$B,"*" &amp; $X$1 &amp; "*", Database!$D:$D, MONTH(F$3)), "NA")</f>
        <v>0.24229177293654316</v>
      </c>
      <c r="G6" s="265" t="str">
        <f>IFERROR(SUMIFS(Database!$H:$H, Database!$B:$B,"*" &amp; $X$1 &amp; "*", Database!$D:$D, MONTH(G$3)) / SUMIFS(Database!$G:$G, Database!$B:$B,"*" &amp; $X$1 &amp; "*", Database!$D:$D, MONTH(G$3)), "")</f>
        <v/>
      </c>
      <c r="H6" s="266" t="str">
        <f>IFERROR(SUMIFS(Database!$H:$H, Database!$B:$B,"*" &amp; $X$1 &amp; "*", Database!$D:$D, MONTH(H$3)) / SUMIFS(Database!$G:$G, Database!$B:$B,"*" &amp; $X$1 &amp; "*", Database!$D:$D, MONTH(H$3)), "")</f>
        <v/>
      </c>
      <c r="I6" s="265" t="str">
        <f>IFERROR(SUMIFS(Database!$H:$H, Database!$B:$B,"*" &amp; $X$1 &amp; "*", Database!$D:$D, MONTH(I$3)) / SUMIFS(Database!$G:$G, Database!$B:$B,"*" &amp; $X$1 &amp; "*", Database!$D:$D, MONTH(I$3)), "")</f>
        <v/>
      </c>
      <c r="J6" s="265" t="str">
        <f>IFERROR(SUMIFS(Database!$H:$H, Database!$B:$B,"*" &amp; $X$1 &amp; "*", Database!$D:$D, MONTH(J$3)) / SUMIFS(Database!$G:$G, Database!$B:$B,"*" &amp; $X$1 &amp; "*", Database!$D:$D, MONTH(J$3)), "")</f>
        <v/>
      </c>
      <c r="K6" s="277" t="str">
        <f>IFERROR(SUMIFS(Database!$H:$H, Database!$B:$B,"*" &amp; $X$1 &amp; "*", Database!$D:$D, MONTH(K$3)) / SUMIFS(Database!$G:$G, Database!$B:$B,"*" &amp; $X$1 &amp; "*", Database!$D:$D, MONTH(K$3)), "")</f>
        <v/>
      </c>
      <c r="L6" s="265" t="str">
        <f>IFERROR(SUMIFS(Database!$H:$H, Database!$B:$B,"*" &amp; $X$1 &amp; "*", Database!$D:$D, MONTH(L$3)) / SUMIFS(Database!$G:$G, Database!$B:$B,"*" &amp; $X$1 &amp; "*", Database!$D:$D, MONTH(L$3)), "")</f>
        <v/>
      </c>
      <c r="M6" s="265" t="str">
        <f>IFERROR(SUMIFS(Database!$H:$H, Database!$B:$B,"*" &amp; $X$1 &amp; "*", Database!$D:$D, MONTH(M$3)) / SUMIFS(Database!$G:$G, Database!$B:$B,"*" &amp; $X$1 &amp; "*", Database!$D:$D, MONTH(M$3)), "")</f>
        <v/>
      </c>
      <c r="N6" s="277" t="str">
        <f>IFERROR(SUMIFS(Database!$H:$H, Database!$B:$B,"*" &amp; $X$1 &amp; "*", Database!$D:$D, MONTH(N$3)) / SUMIFS(Database!$G:$G, Database!$B:$B,"*" &amp; $X$1 &amp; "*", Database!$D:$D, MONTH(N$3)), "")</f>
        <v/>
      </c>
      <c r="O6" s="265" t="str">
        <f>IFERROR(SUMIFS(Database!$H:$H, Database!$B:$B,"*" &amp; $X$1 &amp; "*", Database!$D:$D, MONTH(O$3)) / SUMIFS(Database!$G:$G, Database!$B:$B,"*" &amp; $X$1 &amp; "*", Database!$D:$D, MONTH(O$3)), "")</f>
        <v/>
      </c>
      <c r="P6" s="265" t="str">
        <f>IFERROR(SUMIFS(Database!$H:$H, Database!$B:$B,"*" &amp; $X$1 &amp; "*", Database!$D:$D, MONTH(P$3)) / SUMIFS(Database!$G:$G, Database!$B:$B,"*" &amp; $X$1 &amp; "*", Database!$D:$D, MONTH(P$3)), "")</f>
        <v/>
      </c>
      <c r="Q6" s="277" t="str">
        <f>IFERROR(SUMIFS(Database!$H:$H, Database!$B:$B,"*" &amp; $X$1 &amp; "*", Database!$D:$D, MONTH(Q$3)) / SUMIFS(Database!$G:$G, Database!$B:$B,"*" &amp; $X$1 &amp; "*", Database!$D:$D, MONTH(Q$3)), "")</f>
        <v/>
      </c>
      <c r="R6" s="266">
        <f>IFERROR(SUMIFS(Database!$H:$H, Database!$B:$B,"*"&amp; X1&amp;"*") / SUMIFS(Database!$G:$G, Database!$B:$B,"*"&amp; X1&amp;"*"), "NA")</f>
        <v>0.24229177293654316</v>
      </c>
      <c r="S6" s="148"/>
      <c r="T6" s="149">
        <v>0.05</v>
      </c>
      <c r="U6" s="149">
        <v>0.66</v>
      </c>
      <c r="V6" s="217">
        <v>0.81</v>
      </c>
    </row>
    <row r="7" spans="1:24" s="3" customFormat="1" ht="18" customHeight="1">
      <c r="A7" s="120"/>
      <c r="B7" s="426"/>
      <c r="C7" s="8" t="s">
        <v>35</v>
      </c>
      <c r="D7" s="397" t="s">
        <v>36</v>
      </c>
      <c r="E7" s="193">
        <v>0.8</v>
      </c>
      <c r="F7" s="369">
        <v>0.75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0.75</v>
      </c>
      <c r="S7" s="154"/>
      <c r="T7" s="156">
        <v>0.85</v>
      </c>
      <c r="U7" s="156">
        <v>0.56999999999999995</v>
      </c>
      <c r="V7" s="218">
        <v>0.13</v>
      </c>
    </row>
    <row r="8" spans="1:24" s="3" customFormat="1" ht="18" customHeight="1">
      <c r="A8" s="120"/>
      <c r="B8" s="426"/>
      <c r="C8" s="9" t="s">
        <v>37</v>
      </c>
      <c r="D8" s="396"/>
      <c r="E8" s="194">
        <v>0.8</v>
      </c>
      <c r="F8" s="264">
        <v>0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0</v>
      </c>
      <c r="S8" s="148"/>
      <c r="T8" s="158">
        <v>0.92</v>
      </c>
      <c r="U8" s="158">
        <v>0.56999999999999995</v>
      </c>
      <c r="V8" s="220">
        <v>0.53</v>
      </c>
    </row>
    <row r="9" spans="1:24" s="3" customFormat="1" ht="18" customHeight="1">
      <c r="A9" s="120"/>
      <c r="B9" s="426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0.36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0.36</v>
      </c>
      <c r="S9" s="162"/>
      <c r="T9" s="149" t="s">
        <v>30</v>
      </c>
      <c r="U9" s="149">
        <v>7.0000000000000007E-2</v>
      </c>
      <c r="V9" s="217">
        <v>0.09</v>
      </c>
    </row>
    <row r="10" spans="1:24" s="3" customFormat="1" ht="18" customHeight="1" thickBot="1">
      <c r="A10" s="120"/>
      <c r="B10" s="427"/>
      <c r="C10" s="97" t="s">
        <v>40</v>
      </c>
      <c r="D10" s="389"/>
      <c r="E10" s="163">
        <v>0.45</v>
      </c>
      <c r="F10" s="267">
        <f>_xlfn.XLOOKUP($X$1, Database!$AG$29:$AG$44,Database!AI$29:AI$44)</f>
        <v>0.65</v>
      </c>
      <c r="G10" s="268" t="str">
        <f>IF(_xlfn.XLOOKUP($X$1, Database!$AG$29:$AG$44,Database!AJ$29:AJ$44)=0,"",_xlfn.XLOOKUP($X$1, Database!$AG$29:$AG$44,Database!AJ$29:AJ$44))</f>
        <v/>
      </c>
      <c r="H10" s="279" t="str">
        <f>IF(_xlfn.XLOOKUP($X$1, Database!$AG$29:$AG$44,Database!AK$29:AK$44)=0,"",_xlfn.XLOOKUP($X$1, Database!$AG$29:$AG$44,Database!AK$29:AK$44))</f>
        <v/>
      </c>
      <c r="I10" s="326" t="str">
        <f>IF(_xlfn.XLOOKUP($X$1, Database!$AG$29:$AG$44,Database!AL$29:AL$44)=0,"",_xlfn.XLOOKUP($X$1, Database!$AG$29:$AG$44,Database!AL$29:AL$44))</f>
        <v/>
      </c>
      <c r="J10" s="327" t="str">
        <f>IF(_xlfn.XLOOKUP($X$1, Database!$AG$29:$AG$44,Database!AM$29:AM$44)=0,"",_xlfn.XLOOKUP($X$1, Database!$AG$29:$AG$44,Database!AM$29:AM$44))</f>
        <v/>
      </c>
      <c r="K10" s="345" t="str">
        <f>IF(_xlfn.XLOOKUP($X$1, Database!$AG$29:$AG$44,Database!AN$29:AN$44)=0,"",_xlfn.XLOOKUP($X$1, Database!$AG$29:$AG$44,Database!AN$29:AN$44))</f>
        <v/>
      </c>
      <c r="L10" s="326" t="str">
        <f>IF(_xlfn.XLOOKUP($X$1, Database!$AG$29:$AG$44,Database!AO$29:AO$44)=0,"",_xlfn.XLOOKUP($X$1, Database!$AG$29:$AG$44,Database!AO$29:AO$44))</f>
        <v/>
      </c>
      <c r="M10" s="327" t="str">
        <f>IF(_xlfn.XLOOKUP($X$1, Database!$AG$29:$AG$44,Database!AP$29:AP$44)=0,"",_xlfn.XLOOKUP($X$1, Database!$AG$29:$AG$44,Database!AP$29:AP$44))</f>
        <v/>
      </c>
      <c r="N10" s="328" t="str">
        <f>IF(_xlfn.XLOOKUP($X$1, Database!$AG$29:$AG$44,Database!AQ$29:AQ$44)=0,"",_xlfn.XLOOKUP($X$1, Database!$AG$29:$AG$44,Database!AQ$29:AQ$44))</f>
        <v/>
      </c>
      <c r="O10" s="326" t="str">
        <f>IF(_xlfn.XLOOKUP($X$1, Database!$AG$29:$AG$44,Database!AR$29:AR$44)=0,"",_xlfn.XLOOKUP($X$1, Database!$AG$29:$AG$44,Database!AR$29:AR$44))</f>
        <v/>
      </c>
      <c r="P10" s="327" t="str">
        <f>IF(_xlfn.XLOOKUP($X$1, Database!$AG$29:$AG$44,Database!AS$29:AS$44)=0,"",_xlfn.XLOOKUP($X$1, Database!$AG$29:$AG$44,Database!AS$29:AS$44))</f>
        <v/>
      </c>
      <c r="Q10" s="328" t="str">
        <f>IF(_xlfn.XLOOKUP($X$1, Database!$AG$29:$AG$44,Database!AT$29:AT$44)=0,"",_xlfn.XLOOKUP($X$1, Database!$AG$29:$AG$44,Database!AT$29:AT$44))</f>
        <v/>
      </c>
      <c r="R10" s="329">
        <f>IFERROR(_xlfn.XLOOKUP($X$1, Database!$AG$29:$AG$44,Database!AH$29:AH$44),"NA")</f>
        <v>0.65</v>
      </c>
      <c r="S10" s="199"/>
      <c r="T10" s="200" t="s">
        <v>30</v>
      </c>
      <c r="U10" s="200" t="s">
        <v>30</v>
      </c>
      <c r="V10" s="201" t="s">
        <v>30</v>
      </c>
    </row>
    <row r="11" spans="1:24" s="3" customFormat="1" ht="18" customHeight="1">
      <c r="A11" s="120"/>
      <c r="B11" s="384" t="s">
        <v>44</v>
      </c>
      <c r="C11" s="7" t="s">
        <v>45</v>
      </c>
      <c r="D11" s="387" t="s">
        <v>46</v>
      </c>
      <c r="E11" s="191">
        <v>0.8</v>
      </c>
      <c r="F11" s="303"/>
      <c r="G11" s="304"/>
      <c r="H11" s="305"/>
      <c r="I11" s="306"/>
      <c r="J11" s="268"/>
      <c r="K11" s="279"/>
      <c r="L11" s="306"/>
      <c r="M11" s="268"/>
      <c r="N11" s="279"/>
      <c r="O11" s="306"/>
      <c r="P11" s="268"/>
      <c r="Q11" s="282"/>
      <c r="R11" s="279"/>
      <c r="S11" s="174"/>
      <c r="T11" s="174" t="s">
        <v>30</v>
      </c>
      <c r="U11" s="174" t="s">
        <v>30</v>
      </c>
      <c r="V11" s="174" t="s">
        <v>30</v>
      </c>
    </row>
    <row r="12" spans="1:24" s="3" customFormat="1" ht="18" customHeight="1">
      <c r="A12" s="120"/>
      <c r="B12" s="385"/>
      <c r="C12" s="7" t="s">
        <v>53</v>
      </c>
      <c r="D12" s="388"/>
      <c r="E12" s="191">
        <v>0.9</v>
      </c>
      <c r="F12" s="307"/>
      <c r="G12" s="308"/>
      <c r="H12" s="309"/>
      <c r="I12" s="306"/>
      <c r="J12" s="268"/>
      <c r="K12" s="279"/>
      <c r="L12" s="306"/>
      <c r="M12" s="268"/>
      <c r="N12" s="279"/>
      <c r="O12" s="306"/>
      <c r="P12" s="268"/>
      <c r="Q12" s="282"/>
      <c r="R12" s="279"/>
      <c r="S12" s="174"/>
      <c r="T12" s="174" t="s">
        <v>30</v>
      </c>
      <c r="U12" s="174" t="s">
        <v>30</v>
      </c>
      <c r="V12" s="174" t="s">
        <v>30</v>
      </c>
    </row>
    <row r="13" spans="1:24" s="3" customFormat="1" ht="18" customHeight="1" thickBot="1">
      <c r="A13" s="120"/>
      <c r="B13" s="386"/>
      <c r="C13" s="1" t="s">
        <v>54</v>
      </c>
      <c r="D13" s="389"/>
      <c r="E13" s="203">
        <v>0.05</v>
      </c>
      <c r="F13" s="310"/>
      <c r="G13" s="311"/>
      <c r="H13" s="312"/>
      <c r="I13" s="313"/>
      <c r="J13" s="314"/>
      <c r="K13" s="315"/>
      <c r="L13" s="313"/>
      <c r="M13" s="314"/>
      <c r="N13" s="315"/>
      <c r="O13" s="316"/>
      <c r="P13" s="314"/>
      <c r="Q13" s="317"/>
      <c r="R13" s="315"/>
      <c r="S13" s="165"/>
      <c r="T13" s="165" t="s">
        <v>30</v>
      </c>
      <c r="U13" s="165" t="s">
        <v>30</v>
      </c>
      <c r="V13" s="165" t="s">
        <v>30</v>
      </c>
    </row>
    <row r="14" spans="1:24">
      <c r="A14" s="383"/>
      <c r="B14" s="383"/>
      <c r="C14" s="118"/>
      <c r="D14" s="118"/>
      <c r="E14" s="118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</row>
    <row r="15" spans="1:24">
      <c r="A15" s="383"/>
      <c r="B15" s="383"/>
      <c r="C15" s="20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spans="1:22">
      <c r="A17" s="383"/>
      <c r="B17" s="383"/>
      <c r="C17" s="118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spans="1:22">
      <c r="A18" s="383"/>
      <c r="B18" s="383"/>
      <c r="C18" s="118"/>
      <c r="D18" s="118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 spans="1:22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 spans="1:22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</row>
    <row r="21" spans="1:22">
      <c r="G21" s="91"/>
    </row>
    <row r="23" spans="1:22">
      <c r="D23" s="18"/>
    </row>
    <row r="24" spans="1:22">
      <c r="D24" s="18"/>
      <c r="F24" s="94"/>
    </row>
    <row r="25" spans="1:22">
      <c r="D25" s="90"/>
    </row>
  </sheetData>
  <mergeCells count="15">
    <mergeCell ref="A18:B18"/>
    <mergeCell ref="A19:B19"/>
    <mergeCell ref="A20:B20"/>
    <mergeCell ref="B11:B13"/>
    <mergeCell ref="D11:D13"/>
    <mergeCell ref="A1:B1"/>
    <mergeCell ref="A14:B14"/>
    <mergeCell ref="A15:B15"/>
    <mergeCell ref="A16:B16"/>
    <mergeCell ref="A17:B17"/>
    <mergeCell ref="B2:V2"/>
    <mergeCell ref="B5:B10"/>
    <mergeCell ref="D5:D6"/>
    <mergeCell ref="D7:D8"/>
    <mergeCell ref="D9:D10"/>
  </mergeCells>
  <conditionalFormatting sqref="F4:R4">
    <cfRule type="cellIs" dxfId="72" priority="3" stopIfTrue="1" operator="between">
      <formula>0.22</formula>
      <formula>0.32</formula>
    </cfRule>
    <cfRule type="cellIs" dxfId="71" priority="6" stopIfTrue="1" operator="notBetween">
      <formula>0.22</formula>
      <formula>0.32</formula>
    </cfRule>
  </conditionalFormatting>
  <conditionalFormatting sqref="F4:R13">
    <cfRule type="beginsWith" dxfId="70" priority="1" stopIfTrue="1" operator="beginsWith" text="NA">
      <formula>LEFT(F4,LEN("NA"))="NA"</formula>
    </cfRule>
    <cfRule type="containsBlanks" dxfId="69" priority="2" stopIfTrue="1">
      <formula>LEN(TRIM(F4))=0</formula>
    </cfRule>
  </conditionalFormatting>
  <conditionalFormatting sqref="F5:R12">
    <cfRule type="cellIs" dxfId="68" priority="4" stopIfTrue="1" operator="greaterThan">
      <formula>$E5</formula>
    </cfRule>
    <cfRule type="cellIs" dxfId="67" priority="5" stopIfTrue="1" operator="lessThan">
      <formula>$E5</formula>
    </cfRule>
  </conditionalFormatting>
  <conditionalFormatting sqref="F13:R13">
    <cfRule type="cellIs" dxfId="66" priority="9" stopIfTrue="1" operator="lessThan">
      <formula>$E$16</formula>
    </cfRule>
    <cfRule type="cellIs" dxfId="65" priority="10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F889-7BD8-4BE2-888C-F05FAE666612}">
  <sheetPr codeName="Sheet18"/>
  <dimension ref="B1:T42"/>
  <sheetViews>
    <sheetView showGridLines="0" zoomScale="70" zoomScaleNormal="7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G14" sqref="G14:G16"/>
    </sheetView>
  </sheetViews>
  <sheetFormatPr baseColWidth="10" defaultColWidth="8.6640625" defaultRowHeight="15"/>
  <cols>
    <col min="1" max="1" width="1.5" customWidth="1"/>
    <col min="2" max="2" width="29.5" bestFit="1" customWidth="1"/>
    <col min="3" max="3" width="51.5" bestFit="1" customWidth="1"/>
    <col min="4" max="4" width="14" bestFit="1" customWidth="1"/>
    <col min="5" max="5" width="11.5" customWidth="1"/>
    <col min="6" max="14" width="13.5" style="2" customWidth="1"/>
    <col min="15" max="15" width="15.5" style="2" customWidth="1"/>
    <col min="16" max="20" width="13.5" style="2" customWidth="1"/>
  </cols>
  <sheetData>
    <row r="1" spans="2:20" ht="16" thickBot="1"/>
    <row r="2" spans="2:20" s="3" customFormat="1" ht="25.25" customHeight="1" thickBot="1">
      <c r="B2" s="436" t="s">
        <v>55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8"/>
    </row>
    <row r="3" spans="2:20" s="3" customFormat="1" ht="23" customHeight="1" thickBot="1">
      <c r="B3" s="4" t="s">
        <v>8</v>
      </c>
      <c r="C3" s="12" t="s">
        <v>9</v>
      </c>
      <c r="D3" s="12" t="s">
        <v>10</v>
      </c>
      <c r="E3" s="23" t="s">
        <v>11</v>
      </c>
      <c r="F3" s="60">
        <v>45292</v>
      </c>
      <c r="G3" s="61">
        <v>45323</v>
      </c>
      <c r="H3" s="62">
        <v>45352</v>
      </c>
      <c r="I3" s="60">
        <v>45383</v>
      </c>
      <c r="J3" s="61">
        <v>45413</v>
      </c>
      <c r="K3" s="62">
        <v>45444</v>
      </c>
      <c r="L3" s="60">
        <v>45474</v>
      </c>
      <c r="M3" s="61">
        <v>45505</v>
      </c>
      <c r="N3" s="62">
        <v>45536</v>
      </c>
      <c r="O3" s="63">
        <v>45566</v>
      </c>
      <c r="P3" s="61">
        <v>45597</v>
      </c>
      <c r="Q3" s="62">
        <v>45627</v>
      </c>
      <c r="R3" s="62" t="s">
        <v>3</v>
      </c>
      <c r="S3" s="31" t="s">
        <v>25</v>
      </c>
      <c r="T3" s="12" t="s">
        <v>56</v>
      </c>
    </row>
    <row r="4" spans="2:20" s="3" customFormat="1" ht="18" customHeight="1" thickBot="1">
      <c r="B4" s="11" t="s">
        <v>26</v>
      </c>
      <c r="C4" s="5" t="s">
        <v>27</v>
      </c>
      <c r="D4" s="10" t="s">
        <v>57</v>
      </c>
      <c r="E4" s="24" t="s">
        <v>58</v>
      </c>
      <c r="F4" s="64" t="s">
        <v>30</v>
      </c>
      <c r="G4" s="65" t="s">
        <v>30</v>
      </c>
      <c r="H4" s="66"/>
      <c r="I4" s="64"/>
      <c r="J4" s="65"/>
      <c r="K4" s="66"/>
      <c r="L4" s="64"/>
      <c r="M4" s="65"/>
      <c r="N4" s="66"/>
      <c r="O4" s="67"/>
      <c r="P4" s="65"/>
      <c r="Q4" s="66"/>
      <c r="R4" s="66" t="s">
        <v>30</v>
      </c>
      <c r="S4" s="32">
        <v>1</v>
      </c>
      <c r="T4" s="19">
        <v>0.42</v>
      </c>
    </row>
    <row r="5" spans="2:20" s="3" customFormat="1" ht="18" customHeight="1">
      <c r="B5" s="439" t="s">
        <v>31</v>
      </c>
      <c r="C5" s="6" t="s">
        <v>59</v>
      </c>
      <c r="D5" s="433" t="s">
        <v>57</v>
      </c>
      <c r="E5" s="25">
        <v>0.8</v>
      </c>
      <c r="F5" s="68" t="s">
        <v>30</v>
      </c>
      <c r="G5" s="69" t="s">
        <v>30</v>
      </c>
      <c r="H5" s="70"/>
      <c r="I5" s="68"/>
      <c r="J5" s="69"/>
      <c r="K5" s="70"/>
      <c r="L5" s="68"/>
      <c r="M5" s="69"/>
      <c r="N5" s="70"/>
      <c r="O5" s="71"/>
      <c r="P5" s="69"/>
      <c r="Q5" s="70"/>
      <c r="R5" s="70" t="s">
        <v>30</v>
      </c>
      <c r="S5" s="77">
        <v>0.98</v>
      </c>
      <c r="T5" s="21">
        <v>0.9</v>
      </c>
    </row>
    <row r="6" spans="2:20" s="3" customFormat="1" ht="18" customHeight="1">
      <c r="B6" s="440"/>
      <c r="C6" s="7" t="s">
        <v>34</v>
      </c>
      <c r="D6" s="434"/>
      <c r="E6" s="26">
        <v>0.8</v>
      </c>
      <c r="F6" s="53" t="s">
        <v>30</v>
      </c>
      <c r="G6" s="43" t="s">
        <v>30</v>
      </c>
      <c r="H6" s="54"/>
      <c r="I6" s="53"/>
      <c r="J6" s="43"/>
      <c r="K6" s="54"/>
      <c r="L6" s="53"/>
      <c r="M6" s="43"/>
      <c r="N6" s="54"/>
      <c r="O6" s="46"/>
      <c r="P6" s="43"/>
      <c r="Q6" s="54"/>
      <c r="R6" s="54" t="s">
        <v>30</v>
      </c>
      <c r="S6" s="40">
        <v>0.499</v>
      </c>
      <c r="T6" s="22">
        <v>0.66</v>
      </c>
    </row>
    <row r="7" spans="2:20" s="3" customFormat="1" ht="18" customHeight="1">
      <c r="B7" s="440"/>
      <c r="C7" s="8" t="s">
        <v>35</v>
      </c>
      <c r="D7" s="442" t="s">
        <v>36</v>
      </c>
      <c r="E7" s="27">
        <v>0.8</v>
      </c>
      <c r="F7" s="51" t="s">
        <v>30</v>
      </c>
      <c r="G7" s="47" t="s">
        <v>30</v>
      </c>
      <c r="H7" s="52"/>
      <c r="I7" s="51"/>
      <c r="J7" s="47"/>
      <c r="K7" s="52"/>
      <c r="L7" s="51"/>
      <c r="M7" s="47"/>
      <c r="N7" s="52"/>
      <c r="O7" s="48"/>
      <c r="P7" s="47"/>
      <c r="Q7" s="52"/>
      <c r="R7" s="52" t="s">
        <v>30</v>
      </c>
      <c r="S7" s="35">
        <v>0.27</v>
      </c>
      <c r="T7" s="15" t="s">
        <v>30</v>
      </c>
    </row>
    <row r="8" spans="2:20" s="3" customFormat="1" ht="18" customHeight="1">
      <c r="B8" s="440"/>
      <c r="C8" s="9" t="s">
        <v>37</v>
      </c>
      <c r="D8" s="443"/>
      <c r="E8" s="28">
        <v>0.8</v>
      </c>
      <c r="F8" s="53" t="s">
        <v>30</v>
      </c>
      <c r="G8" s="43" t="s">
        <v>30</v>
      </c>
      <c r="H8" s="54"/>
      <c r="I8" s="53"/>
      <c r="J8" s="43"/>
      <c r="K8" s="54"/>
      <c r="L8" s="53"/>
      <c r="M8" s="43"/>
      <c r="N8" s="54"/>
      <c r="O8" s="46"/>
      <c r="P8" s="43"/>
      <c r="Q8" s="54"/>
      <c r="R8" s="54" t="s">
        <v>30</v>
      </c>
      <c r="S8" s="36">
        <v>0.17</v>
      </c>
      <c r="T8" s="16">
        <v>0.89</v>
      </c>
    </row>
    <row r="9" spans="2:20" s="3" customFormat="1" ht="18" customHeight="1">
      <c r="B9" s="440"/>
      <c r="C9" s="7" t="s">
        <v>60</v>
      </c>
      <c r="D9" s="434" t="s">
        <v>39</v>
      </c>
      <c r="E9" s="26">
        <v>0.25</v>
      </c>
      <c r="F9" s="49" t="s">
        <v>30</v>
      </c>
      <c r="G9" s="41"/>
      <c r="H9" s="50"/>
      <c r="I9" s="49"/>
      <c r="J9" s="41"/>
      <c r="K9" s="50"/>
      <c r="L9" s="49"/>
      <c r="M9" s="41"/>
      <c r="N9" s="50"/>
      <c r="O9" s="44"/>
      <c r="P9" s="41"/>
      <c r="Q9" s="50"/>
      <c r="R9" s="50" t="s">
        <v>30</v>
      </c>
      <c r="S9" s="34">
        <v>0.23521666666666666</v>
      </c>
      <c r="T9" s="14" t="s">
        <v>30</v>
      </c>
    </row>
    <row r="10" spans="2:20" s="3" customFormat="1" ht="18" customHeight="1" thickBot="1">
      <c r="B10" s="441"/>
      <c r="C10" s="1" t="s">
        <v>61</v>
      </c>
      <c r="D10" s="435"/>
      <c r="E10" s="29" t="s">
        <v>62</v>
      </c>
      <c r="F10" s="57" t="s">
        <v>30</v>
      </c>
      <c r="G10" s="58"/>
      <c r="H10" s="59"/>
      <c r="I10" s="57"/>
      <c r="J10" s="58"/>
      <c r="K10" s="59"/>
      <c r="L10" s="57"/>
      <c r="M10" s="58"/>
      <c r="N10" s="59"/>
      <c r="O10" s="72"/>
      <c r="P10" s="58"/>
      <c r="Q10" s="59"/>
      <c r="R10" s="59" t="s">
        <v>30</v>
      </c>
      <c r="S10" s="37">
        <v>0.95429999999999993</v>
      </c>
      <c r="T10" s="17" t="s">
        <v>30</v>
      </c>
    </row>
    <row r="11" spans="2:20" s="3" customFormat="1" ht="18" hidden="1" customHeight="1">
      <c r="B11" s="444" t="s">
        <v>50</v>
      </c>
      <c r="C11" s="7" t="s">
        <v>42</v>
      </c>
      <c r="D11" s="434" t="s">
        <v>63</v>
      </c>
      <c r="E11" s="30">
        <v>50.5</v>
      </c>
      <c r="F11" s="73"/>
      <c r="G11" s="74"/>
      <c r="H11" s="75"/>
      <c r="I11" s="73"/>
      <c r="J11" s="74"/>
      <c r="K11" s="75"/>
      <c r="L11" s="73"/>
      <c r="M11" s="74"/>
      <c r="N11" s="75"/>
      <c r="O11" s="76"/>
      <c r="P11" s="74"/>
      <c r="Q11" s="75"/>
      <c r="R11" s="75"/>
      <c r="S11" s="38" t="s">
        <v>30</v>
      </c>
      <c r="T11" s="14" t="s">
        <v>30</v>
      </c>
    </row>
    <row r="12" spans="2:20" s="3" customFormat="1" ht="18" hidden="1" customHeight="1">
      <c r="B12" s="444"/>
      <c r="C12" s="7" t="s">
        <v>43</v>
      </c>
      <c r="D12" s="434"/>
      <c r="E12" s="30">
        <v>5.7</v>
      </c>
      <c r="F12" s="55"/>
      <c r="G12" s="42"/>
      <c r="H12" s="56"/>
      <c r="I12" s="55"/>
      <c r="J12" s="42"/>
      <c r="K12" s="56"/>
      <c r="L12" s="55"/>
      <c r="M12" s="42"/>
      <c r="N12" s="56"/>
      <c r="O12" s="45"/>
      <c r="P12" s="42"/>
      <c r="Q12" s="56"/>
      <c r="R12" s="56"/>
      <c r="S12" s="38" t="s">
        <v>30</v>
      </c>
      <c r="T12" s="14" t="s">
        <v>30</v>
      </c>
    </row>
    <row r="13" spans="2:20" s="3" customFormat="1" ht="18" hidden="1" customHeight="1" thickBot="1">
      <c r="B13" s="445"/>
      <c r="C13" s="1" t="s">
        <v>64</v>
      </c>
      <c r="D13" s="435"/>
      <c r="E13" s="29">
        <v>0.2</v>
      </c>
      <c r="F13" s="57"/>
      <c r="G13" s="58"/>
      <c r="H13" s="59"/>
      <c r="I13" s="57"/>
      <c r="J13" s="58"/>
      <c r="K13" s="59"/>
      <c r="L13" s="57"/>
      <c r="M13" s="58"/>
      <c r="N13" s="59"/>
      <c r="O13" s="72"/>
      <c r="P13" s="58"/>
      <c r="Q13" s="59"/>
      <c r="R13" s="59"/>
      <c r="S13" s="39" t="s">
        <v>30</v>
      </c>
      <c r="T13" s="17" t="s">
        <v>30</v>
      </c>
    </row>
    <row r="14" spans="2:20" s="3" customFormat="1" ht="18" customHeight="1">
      <c r="B14" s="430" t="s">
        <v>44</v>
      </c>
      <c r="C14" s="6" t="s">
        <v>45</v>
      </c>
      <c r="D14" s="433" t="s">
        <v>65</v>
      </c>
      <c r="E14" s="25">
        <v>0.8</v>
      </c>
      <c r="F14" s="68" t="s">
        <v>30</v>
      </c>
      <c r="G14" s="68" t="s">
        <v>30</v>
      </c>
      <c r="H14" s="70"/>
      <c r="I14" s="68"/>
      <c r="J14" s="69"/>
      <c r="K14" s="70"/>
      <c r="L14" s="68"/>
      <c r="M14" s="69"/>
      <c r="N14" s="70"/>
      <c r="O14" s="71"/>
      <c r="P14" s="69"/>
      <c r="Q14" s="70"/>
      <c r="R14" s="77" t="str">
        <f>F14</f>
        <v>NA</v>
      </c>
      <c r="S14" s="33" t="s">
        <v>30</v>
      </c>
      <c r="T14" s="13" t="s">
        <v>30</v>
      </c>
    </row>
    <row r="15" spans="2:20" s="3" customFormat="1" ht="18" customHeight="1">
      <c r="B15" s="431"/>
      <c r="C15" s="7" t="s">
        <v>66</v>
      </c>
      <c r="D15" s="434"/>
      <c r="E15" s="26">
        <v>0.8</v>
      </c>
      <c r="F15" s="49" t="s">
        <v>30</v>
      </c>
      <c r="G15" s="49" t="s">
        <v>30</v>
      </c>
      <c r="H15" s="50"/>
      <c r="I15" s="49"/>
      <c r="J15" s="41"/>
      <c r="K15" s="50"/>
      <c r="L15" s="49"/>
      <c r="M15" s="41"/>
      <c r="N15" s="50"/>
      <c r="O15" s="44"/>
      <c r="P15" s="41"/>
      <c r="Q15" s="50"/>
      <c r="R15" s="40" t="str">
        <f>F15</f>
        <v>NA</v>
      </c>
      <c r="S15" s="34" t="s">
        <v>30</v>
      </c>
      <c r="T15" s="14" t="s">
        <v>30</v>
      </c>
    </row>
    <row r="16" spans="2:20" s="3" customFormat="1" ht="18" customHeight="1" thickBot="1">
      <c r="B16" s="432"/>
      <c r="C16" s="1" t="s">
        <v>67</v>
      </c>
      <c r="D16" s="435"/>
      <c r="E16" s="29">
        <v>0.05</v>
      </c>
      <c r="F16" s="57" t="s">
        <v>30</v>
      </c>
      <c r="G16" s="57" t="s">
        <v>30</v>
      </c>
      <c r="H16" s="59"/>
      <c r="I16" s="57"/>
      <c r="J16" s="58"/>
      <c r="K16" s="59"/>
      <c r="L16" s="57"/>
      <c r="M16" s="58"/>
      <c r="N16" s="59"/>
      <c r="O16" s="72"/>
      <c r="P16" s="58"/>
      <c r="Q16" s="59"/>
      <c r="R16" s="79" t="str">
        <f>F16</f>
        <v>NA</v>
      </c>
      <c r="S16" s="39" t="s">
        <v>30</v>
      </c>
      <c r="T16" s="17" t="s">
        <v>30</v>
      </c>
    </row>
    <row r="18" spans="3:20">
      <c r="C18" s="20"/>
    </row>
    <row r="19" spans="3:20"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3:20"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3:20"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3:20"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3:20"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3:20"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3:20"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3:20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3:20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3:20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3:20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3:20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3:20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3:20"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</sheetData>
  <mergeCells count="9">
    <mergeCell ref="B14:B16"/>
    <mergeCell ref="D14:D16"/>
    <mergeCell ref="B2:T2"/>
    <mergeCell ref="B5:B10"/>
    <mergeCell ref="D5:D6"/>
    <mergeCell ref="D7:D8"/>
    <mergeCell ref="D9:D10"/>
    <mergeCell ref="B11:B13"/>
    <mergeCell ref="D11:D13"/>
  </mergeCells>
  <conditionalFormatting sqref="F4:Q4">
    <cfRule type="cellIs" dxfId="64" priority="76" operator="between">
      <formula>0.29</formula>
      <formula>0.35</formula>
    </cfRule>
    <cfRule type="cellIs" dxfId="63" priority="75" operator="notBetween">
      <formula>0.29</formula>
      <formula>0.35</formula>
    </cfRule>
  </conditionalFormatting>
  <conditionalFormatting sqref="F10:Q10">
    <cfRule type="cellIs" dxfId="62" priority="72" operator="between">
      <formula>0.85</formula>
      <formula>0.95</formula>
    </cfRule>
    <cfRule type="cellIs" dxfId="61" priority="71" operator="notBetween">
      <formula>0.85</formula>
      <formula>0.95</formula>
    </cfRule>
  </conditionalFormatting>
  <conditionalFormatting sqref="F14:Q15">
    <cfRule type="cellIs" dxfId="60" priority="6" operator="lessThan">
      <formula>0.8</formula>
    </cfRule>
    <cfRule type="cellIs" dxfId="59" priority="7" operator="greaterThanOrEqual">
      <formula>0.8</formula>
    </cfRule>
  </conditionalFormatting>
  <conditionalFormatting sqref="F14:Q16">
    <cfRule type="containsText" dxfId="58" priority="2" operator="containsText" text="NA">
      <formula>NOT(ISERROR(SEARCH("NA",F14)))</formula>
    </cfRule>
    <cfRule type="containsBlanks" dxfId="57" priority="3">
      <formula>LEN(TRIM(F14))=0</formula>
    </cfRule>
  </conditionalFormatting>
  <conditionalFormatting sqref="F16:Q16">
    <cfRule type="cellIs" dxfId="56" priority="4" operator="greaterThan">
      <formula>0.05</formula>
    </cfRule>
    <cfRule type="cellIs" dxfId="55" priority="5" operator="lessThanOrEqual">
      <formula>0.05</formula>
    </cfRule>
    <cfRule type="cellIs" dxfId="54" priority="8" operator="lessThan">
      <formula>0.05</formula>
    </cfRule>
    <cfRule type="cellIs" dxfId="53" priority="9" operator="greaterThanOrEqual">
      <formula>0.05</formula>
    </cfRule>
  </conditionalFormatting>
  <conditionalFormatting sqref="F4:R4">
    <cfRule type="cellIs" dxfId="52" priority="47" operator="notBetween">
      <formula>0.29</formula>
      <formula>0.35</formula>
    </cfRule>
    <cfRule type="cellIs" dxfId="51" priority="48" operator="between">
      <formula>0.29</formula>
      <formula>0.35</formula>
    </cfRule>
  </conditionalFormatting>
  <conditionalFormatting sqref="F4:R13">
    <cfRule type="containsText" dxfId="50" priority="23" operator="containsText" text="NA">
      <formula>NOT(ISERROR(SEARCH("NA",F4)))</formula>
    </cfRule>
    <cfRule type="containsBlanks" dxfId="49" priority="24">
      <formula>LEN(TRIM(F4))=0</formula>
    </cfRule>
  </conditionalFormatting>
  <conditionalFormatting sqref="F5:R8">
    <cfRule type="cellIs" dxfId="48" priority="40" operator="greaterThanOrEqual">
      <formula>0.8</formula>
    </cfRule>
    <cfRule type="cellIs" dxfId="47" priority="12" operator="between">
      <formula>0.75</formula>
      <formula>0.799</formula>
    </cfRule>
    <cfRule type="cellIs" dxfId="46" priority="39" operator="lessThan">
      <formula>0.8</formula>
    </cfRule>
  </conditionalFormatting>
  <conditionalFormatting sqref="F9:R9">
    <cfRule type="cellIs" dxfId="45" priority="46" operator="greaterThanOrEqual">
      <formula>0.3</formula>
    </cfRule>
    <cfRule type="cellIs" dxfId="44" priority="45" operator="lessThan">
      <formula>0.3</formula>
    </cfRule>
    <cfRule type="cellIs" dxfId="43" priority="37" operator="lessThan">
      <formula>0.25</formula>
    </cfRule>
    <cfRule type="cellIs" dxfId="42" priority="38" operator="greaterThanOrEqual">
      <formula>0.25</formula>
    </cfRule>
  </conditionalFormatting>
  <conditionalFormatting sqref="F10:R10">
    <cfRule type="cellIs" dxfId="41" priority="44" operator="between">
      <formula>0.85</formula>
      <formula>0.95</formula>
    </cfRule>
    <cfRule type="cellIs" dxfId="40" priority="43" operator="notBetween">
      <formula>0.85</formula>
      <formula>0.95</formula>
    </cfRule>
  </conditionalFormatting>
  <conditionalFormatting sqref="F11:R11">
    <cfRule type="cellIs" dxfId="39" priority="33" operator="greaterThan">
      <formula>$E$11</formula>
    </cfRule>
    <cfRule type="cellIs" dxfId="38" priority="34" operator="lessThanOrEqual">
      <formula>$E$11</formula>
    </cfRule>
  </conditionalFormatting>
  <conditionalFormatting sqref="F12:R12">
    <cfRule type="cellIs" dxfId="37" priority="32" operator="lessThanOrEqual">
      <formula>$E$12</formula>
    </cfRule>
    <cfRule type="cellIs" dxfId="36" priority="31" operator="greaterThan">
      <formula>$E$12</formula>
    </cfRule>
  </conditionalFormatting>
  <conditionalFormatting sqref="F13:R13">
    <cfRule type="cellIs" dxfId="35" priority="26" operator="greaterThanOrEqual">
      <formula>$E$13</formula>
    </cfRule>
    <cfRule type="cellIs" dxfId="34" priority="25" operator="lessThan">
      <formula>$E$13</formula>
    </cfRule>
  </conditionalFormatting>
  <conditionalFormatting sqref="F14:R15">
    <cfRule type="cellIs" dxfId="33" priority="1" operator="between">
      <formula>0.75</formula>
      <formula>0.799</formula>
    </cfRule>
  </conditionalFormatting>
  <conditionalFormatting sqref="R4">
    <cfRule type="cellIs" dxfId="32" priority="28" operator="between">
      <formula>0.29</formula>
      <formula>0.35</formula>
    </cfRule>
    <cfRule type="cellIs" dxfId="31" priority="27" operator="notBetween">
      <formula>0.29</formula>
      <formula>0.35</formula>
    </cfRule>
  </conditionalFormatting>
  <conditionalFormatting sqref="R10">
    <cfRule type="cellIs" dxfId="30" priority="36" operator="between">
      <formula>0.85</formula>
      <formula>0.95</formula>
    </cfRule>
    <cfRule type="cellIs" dxfId="29" priority="35" operator="notBetween">
      <formula>0.85</formula>
      <formula>0.95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1CD0-BAC2-F248-BDFF-286F957F966C}">
  <sheetPr codeName="Sheet20"/>
  <dimension ref="A1:X27"/>
  <sheetViews>
    <sheetView showGridLines="0" zoomScale="125" zoomScaleNormal="70" workbookViewId="0">
      <selection activeCell="E15" sqref="E15"/>
    </sheetView>
  </sheetViews>
  <sheetFormatPr baseColWidth="10" defaultColWidth="8.6640625" defaultRowHeight="15"/>
  <cols>
    <col min="1" max="1" width="1.5" customWidth="1"/>
    <col min="2" max="2" width="26" bestFit="1" customWidth="1"/>
    <col min="3" max="3" width="47.5" customWidth="1"/>
    <col min="4" max="4" width="12" bestFit="1" customWidth="1"/>
    <col min="5" max="5" width="10.33203125" bestFit="1" customWidth="1"/>
    <col min="6" max="6" width="8.6640625" style="2" bestFit="1" customWidth="1"/>
    <col min="7" max="8" width="9.1640625" style="2" bestFit="1" customWidth="1"/>
    <col min="9" max="9" width="7.83203125" style="2" bestFit="1" customWidth="1"/>
    <col min="10" max="11" width="9.1640625" style="2" bestFit="1" customWidth="1"/>
    <col min="12" max="12" width="6.83203125" style="2" bestFit="1" customWidth="1"/>
    <col min="13" max="13" width="7.83203125" style="2" bestFit="1" customWidth="1"/>
    <col min="14" max="14" width="7.6640625" style="2" bestFit="1" customWidth="1"/>
    <col min="15" max="15" width="6.83203125" style="2" bestFit="1" customWidth="1"/>
    <col min="16" max="16" width="8" style="2" bestFit="1" customWidth="1"/>
    <col min="17" max="17" width="7.1640625" style="2" bestFit="1" customWidth="1"/>
    <col min="18" max="18" width="8.33203125" style="2" customWidth="1"/>
    <col min="19" max="20" width="8" style="2" customWidth="1"/>
    <col min="21" max="22" width="8.1640625" style="2" bestFit="1" customWidth="1"/>
  </cols>
  <sheetData>
    <row r="1" spans="1:24" ht="16" thickBot="1">
      <c r="A1" s="383"/>
      <c r="B1" s="383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/>
      <c r="X1" s="118" t="s">
        <v>23</v>
      </c>
    </row>
    <row r="2" spans="1:24" s="3" customFormat="1" ht="25.25" customHeight="1" thickBot="1">
      <c r="A2" s="120"/>
      <c r="B2" s="390" t="s">
        <v>76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120"/>
      <c r="X2" s="120"/>
    </row>
    <row r="3" spans="1:24" s="3" customFormat="1" ht="23" customHeight="1" thickBot="1">
      <c r="A3" s="120"/>
      <c r="B3" s="122" t="s">
        <v>8</v>
      </c>
      <c r="C3" s="123" t="s">
        <v>9</v>
      </c>
      <c r="D3" s="123" t="s">
        <v>10</v>
      </c>
      <c r="E3" s="124" t="s">
        <v>11</v>
      </c>
      <c r="F3" s="182">
        <v>46023</v>
      </c>
      <c r="G3" s="182">
        <v>46054</v>
      </c>
      <c r="H3" s="182">
        <v>46082</v>
      </c>
      <c r="I3" s="253" t="s">
        <v>78</v>
      </c>
      <c r="J3" s="253" t="s">
        <v>79</v>
      </c>
      <c r="K3" s="182">
        <v>46174</v>
      </c>
      <c r="L3" s="182">
        <v>46204</v>
      </c>
      <c r="M3" s="253" t="s">
        <v>80</v>
      </c>
      <c r="N3" s="253" t="s">
        <v>81</v>
      </c>
      <c r="O3" s="253" t="s">
        <v>82</v>
      </c>
      <c r="P3" s="182">
        <v>46327</v>
      </c>
      <c r="Q3" s="254" t="s">
        <v>83</v>
      </c>
      <c r="R3" s="183" t="s">
        <v>3</v>
      </c>
      <c r="S3" s="183" t="s">
        <v>49</v>
      </c>
      <c r="T3" s="123" t="s">
        <v>77</v>
      </c>
      <c r="U3" s="184" t="s">
        <v>24</v>
      </c>
      <c r="V3" s="123" t="s">
        <v>25</v>
      </c>
      <c r="W3" s="120"/>
      <c r="X3" s="120"/>
    </row>
    <row r="4" spans="1:24" s="3" customFormat="1" ht="18" customHeight="1" thickBot="1">
      <c r="A4" s="120"/>
      <c r="B4" s="131" t="s">
        <v>26</v>
      </c>
      <c r="C4" s="5" t="s">
        <v>27</v>
      </c>
      <c r="D4" s="132" t="s">
        <v>28</v>
      </c>
      <c r="E4" s="185" t="s">
        <v>29</v>
      </c>
      <c r="F4" s="257" cm="1">
        <f t="array" aca="1" ref="F4" ca="1">IFERROR(SUMIFS(Database!$O:$O, Database!$N:$N,"*" &amp; MID(CELL("filename",A1),FIND("]",CELL("filename",A1))+1,255) &amp; "*", Database!$L:$L, MONTH(F$3)) / SUMIFS(Database!$P:$P, Database!$N:$N,"*" &amp; MID(CELL("filename",A1),FIND("]",CELL("filename",A1))+1,255) &amp; "*", Database!$L:$L, MONTH(F$3)), "")</f>
        <v>0.40646507638540524</v>
      </c>
      <c r="G4" s="258" t="str" cm="1">
        <f t="array" aca="1" ref="G4" ca="1">IFERROR(SUMIFS(Database!$O:$O, Database!$N:$N,"*" &amp; MID(CELL("filename",B1),FIND("]",CELL("filename",B1))+1,255) &amp; "*", Database!$L:$L, MONTH(G$3)) / SUMIFS(Database!$P:$P, Database!$N:$N,"*" &amp; MID(CELL("filename",B1),FIND("]",CELL("filename",B1))+1,255) &amp; "*", Database!$L:$L, MONTH(G$3)), "")</f>
        <v/>
      </c>
      <c r="H4" s="259" t="str" cm="1">
        <f t="array" aca="1" ref="H4" ca="1">IFERROR(SUMIFS(Database!$O:$O, Database!$N:$N,"*" &amp; MID(CELL("filename",C1),FIND("]",CELL("filename",C1))+1,255) &amp; "*", Database!$L:$L, MONTH(H$3)) / SUMIFS(Database!$P:$P, Database!$N:$N,"*" &amp; MID(CELL("filename",C1),FIND("]",CELL("filename",C1))+1,255) &amp; "*", Database!$L:$L, MONTH(H$3)), "")</f>
        <v/>
      </c>
      <c r="I4" s="257" t="str" cm="1">
        <f t="array" aca="1" ref="I4" ca="1">IFERROR(SUMIFS(Database!$O:$O, Database!$N:$N,"*" &amp; MID(CELL("filename",D1),FIND("]",CELL("filename",D1))+1,255) &amp; "*", Database!$L:$L, MONTH(I$3)) / SUMIFS(Database!$P:$P, Database!$N:$N,"*" &amp; MID(CELL("filename",D1),FIND("]",CELL("filename",D1))+1,255) &amp; "*", Database!$L:$L, MONTH(I$3)), "")</f>
        <v/>
      </c>
      <c r="J4" s="258" t="str" cm="1">
        <f t="array" aca="1" ref="J4" ca="1">IFERROR(SUMIFS(Database!$O:$O, Database!$N:$N,"*" &amp; MID(CELL("filename",E1),FIND("]",CELL("filename",E1))+1,255) &amp; "*", Database!$L:$L, MONTH(J$3)) / SUMIFS(Database!$P:$P, Database!$N:$N,"*" &amp; MID(CELL("filename",E1),FIND("]",CELL("filename",E1))+1,255) &amp; "*", Database!$L:$L, MONTH(J$3)), "")</f>
        <v/>
      </c>
      <c r="K4" s="259" t="str" cm="1">
        <f t="array" aca="1" ref="K4" ca="1">IFERROR(SUMIFS(Database!$O:$O, Database!$N:$N,"*" &amp; MID(CELL("filename",F1),FIND("]",CELL("filename",F1))+1,255) &amp; "*", Database!$L:$L, MONTH(K$3)) / SUMIFS(Database!$P:$P, Database!$N:$N,"*" &amp; MID(CELL("filename",F1),FIND("]",CELL("filename",F1))+1,255) &amp; "*", Database!$L:$L, MONTH(K$3)), "")</f>
        <v/>
      </c>
      <c r="L4" s="257" t="str" cm="1">
        <f t="array" aca="1" ref="L4" ca="1">IFERROR(SUMIFS(Database!$O:$O, Database!$N:$N,"*" &amp; MID(CELL("filename",G1),FIND("]",CELL("filename",G1))+1,255) &amp; "*", Database!$L:$L, MONTH(L$3)) / SUMIFS(Database!$P:$P, Database!$N:$N,"*" &amp; MID(CELL("filename",G1),FIND("]",CELL("filename",G1))+1,255) &amp; "*", Database!$L:$L, MONTH(L$3)), "")</f>
        <v/>
      </c>
      <c r="M4" s="258" t="str" cm="1">
        <f t="array" aca="1" ref="M4" ca="1">IFERROR(SUMIFS(Database!$O:$O, Database!$N:$N,"*" &amp; MID(CELL("filename",H1),FIND("]",CELL("filename",H1))+1,255) &amp; "*", Database!$L:$L, MONTH(M$3)) / SUMIFS(Database!$P:$P, Database!$N:$N,"*" &amp; MID(CELL("filename",H1),FIND("]",CELL("filename",H1))+1,255) &amp; "*", Database!$L:$L, MONTH(M$3)), "")</f>
        <v/>
      </c>
      <c r="N4" s="259" t="str" cm="1">
        <f t="array" aca="1" ref="N4" ca="1">IFERROR(SUMIFS(Database!$O:$O, Database!$N:$N,"*" &amp; MID(CELL("filename",I1),FIND("]",CELL("filename",I1))+1,255) &amp; "*", Database!$L:$L, MONTH(N$3)) / SUMIFS(Database!$P:$P, Database!$N:$N,"*" &amp; MID(CELL("filename",I1),FIND("]",CELL("filename",I1))+1,255) &amp; "*", Database!$L:$L, MONTH(N$3)), "")</f>
        <v/>
      </c>
      <c r="O4" s="260" t="str" cm="1">
        <f t="array" aca="1" ref="O4" ca="1">IFERROR(SUMIFS(Database!$O:$O, Database!$N:$N,"*" &amp; MID(CELL("filename",J1),FIND("]",CELL("filename",J1))+1,255) &amp; "*", Database!$L:$L, MONTH(O$3)) / SUMIFS(Database!$P:$P, Database!$N:$N,"*" &amp; MID(CELL("filename",J1),FIND("]",CELL("filename",J1))+1,255) &amp; "*", Database!$L:$L, MONTH(O$3)), "")</f>
        <v/>
      </c>
      <c r="P4" s="258" t="str" cm="1">
        <f t="array" aca="1" ref="P4" ca="1">IFERROR(SUMIFS(Database!$O:$O, Database!$N:$N,"*" &amp; MID(CELL("filename",K1),FIND("]",CELL("filename",K1))+1,255) &amp; "*", Database!$L:$L, MONTH(P$3)) / SUMIFS(Database!$P:$P, Database!$N:$N,"*" &amp; MID(CELL("filename",K1),FIND("]",CELL("filename",K1))+1,255) &amp; "*", Database!$L:$L, MONTH(P$3)), "")</f>
        <v/>
      </c>
      <c r="Q4" s="259" t="str" cm="1">
        <f t="array" aca="1" ref="Q4" ca="1">IFERROR(SUMIFS(Database!$O:$O, Database!$N:$N,"*" &amp; MID(CELL("filename",L1),FIND("]",CELL("filename",L1))+1,255) &amp; "*", Database!$L:$L, MONTH(Q$3)) / SUMIFS(Database!$P:$P, Database!$N:$N,"*" &amp; MID(CELL("filename",L1),FIND("]",CELL("filename",L1))+1,255) &amp; "*", Database!$L:$L, MONTH(Q$3)), "")</f>
        <v/>
      </c>
      <c r="R4" s="259" cm="1">
        <f t="array" aca="1" ref="R4" ca="1">IFERROR(SUMIFS(Database!$O:$O, Database!$N:$N,"*"&amp; MID(CELL("filename",A1),FIND("]",CELL("filename",A1))+1,255)&amp;"*") / SUMIFS(Database!$P:$P, Database!$N:$N,"*"&amp; MID(CELL("filename",A1),FIND("]",CELL("filename",A1))+1,255)&amp; "*"), "")</f>
        <v>0.40646507638540524</v>
      </c>
      <c r="S4" s="136"/>
      <c r="T4" s="137">
        <v>0.25</v>
      </c>
      <c r="U4" s="137">
        <v>0.14000000000000001</v>
      </c>
      <c r="V4" s="137">
        <v>0.04</v>
      </c>
      <c r="W4" s="120"/>
      <c r="X4" s="120"/>
    </row>
    <row r="5" spans="1:24" s="3" customFormat="1" ht="18" customHeight="1">
      <c r="A5" s="120"/>
      <c r="B5" s="392" t="s">
        <v>31</v>
      </c>
      <c r="C5" s="6" t="s">
        <v>32</v>
      </c>
      <c r="D5" s="395" t="s">
        <v>28</v>
      </c>
      <c r="E5" s="187">
        <v>0.8</v>
      </c>
      <c r="F5" s="261">
        <f>SUMIFS(Database!$U:$U,Database!$S:$S,$X$1,Database!$R:$R,MONTH(F$3))</f>
        <v>0</v>
      </c>
      <c r="G5" s="262" t="str">
        <f>IF(SUMIFS(Database!$U:$U,Database!$S:$S,$X$1,Database!$R:$R,MONTH(G$3))=0, "", SUMIFS(Database!$U:$U,Database!$S:$S,$X$1,Database!$R:$R,MONTH(G$3)))</f>
        <v/>
      </c>
      <c r="H5" s="263" t="str">
        <f>IF(SUMIFS(Database!$U:$U,Database!$S:$S,$X$1,Database!$R:$R,MONTH(H$3))=0, "", SUMIFS(Database!$U:$U,Database!$S:$S,$X$1,Database!$R:$R,MONTH(H$3)))</f>
        <v/>
      </c>
      <c r="I5" s="261" t="str">
        <f>IF(SUMIFS(Database!$U:$U,Database!$S:$S,$X$1,Database!$R:$R,MONTH(I$3))=0, "", SUMIFS(Database!$U:$U,Database!$S:$S,$X$1,Database!$R:$R,MONTH(I$3)))</f>
        <v/>
      </c>
      <c r="J5" s="262" t="str">
        <f>IF(SUMIFS(Database!$U:$U,Database!$S:$S,$X$1,Database!$R:$R,MONTH(J$3))=0, "", SUMIFS(Database!$U:$U,Database!$S:$S,$X$1,Database!$R:$R,MONTH(J$3)))</f>
        <v/>
      </c>
      <c r="K5" s="263" t="str">
        <f>IF(SUMIFS(Database!$U:$U,Database!$S:$S,$X$1,Database!$R:$R,MONTH(K$3))=0, "", SUMIFS(Database!$U:$U,Database!$S:$S,$X$1,Database!$R:$R,MONTH(K$3)))</f>
        <v/>
      </c>
      <c r="L5" s="261" t="str">
        <f>IF(SUMIFS(Database!$U:$U,Database!$S:$S,$X$1,Database!$R:$R,MONTH(L$3))=0, "", SUMIFS(Database!$U:$U,Database!$S:$S,$X$1,Database!$R:$R,MONTH(L$3)))</f>
        <v/>
      </c>
      <c r="M5" s="262" t="str">
        <f>IF(SUMIFS(Database!$U:$U,Database!$S:$S,$X$1,Database!$R:$R,MONTH(M$3))=0, "", SUMIFS(Database!$U:$U,Database!$S:$S,$X$1,Database!$R:$R,MONTH(M$3)))</f>
        <v/>
      </c>
      <c r="N5" s="263" t="str">
        <f>IF(SUMIFS(Database!$U:$U,Database!$S:$S,$X$1,Database!$R:$R,MONTH(N$3))=0, "", SUMIFS(Database!$U:$U,Database!$S:$S,$X$1,Database!$R:$R,MONTH(N$3)))</f>
        <v/>
      </c>
      <c r="O5" s="261" t="str">
        <f>IF(SUMIFS(Database!$U:$U,Database!$S:$S,$X$1,Database!$R:$R,MONTH(O$3))=0, "", SUMIFS(Database!$U:$U,Database!$S:$S,$X$1,Database!$R:$R,MONTH(O$3)))</f>
        <v/>
      </c>
      <c r="P5" s="262" t="str">
        <f>IF(SUMIFS(Database!$U:$U,Database!$S:$S,$X$1,Database!$R:$R,MONTH(P$3))=0, "", SUMIFS(Database!$U:$U,Database!$S:$S,$X$1,Database!$R:$R,MONTH(P$3)))</f>
        <v/>
      </c>
      <c r="Q5" s="263" t="str">
        <f>IF(SUMIFS(Database!$U:$U,Database!$S:$S,$X$1,Database!$R:$R,MONTH(Q$3))=0, "", SUMIFS(Database!$U:$U,Database!$S:$S,$X$1,Database!$R:$R,MONTH(Q$3)))</f>
        <v/>
      </c>
      <c r="R5" s="263">
        <f>SUMIF(Database!$S:$S,$X$1,Database!$U:$U)</f>
        <v>0</v>
      </c>
      <c r="S5" s="214">
        <v>1</v>
      </c>
      <c r="T5" s="175">
        <v>0.67</v>
      </c>
      <c r="U5" s="175">
        <v>0.74</v>
      </c>
      <c r="V5" s="175">
        <v>0.64</v>
      </c>
      <c r="W5" s="120"/>
      <c r="X5" s="120"/>
    </row>
    <row r="6" spans="1:24" s="3" customFormat="1" ht="18" customHeight="1">
      <c r="A6" s="120"/>
      <c r="B6" s="393"/>
      <c r="C6" s="9" t="s">
        <v>34</v>
      </c>
      <c r="D6" s="396"/>
      <c r="E6" s="191">
        <v>0.8</v>
      </c>
      <c r="F6" s="264" t="s">
        <v>30</v>
      </c>
      <c r="G6" s="265" t="str" cm="1">
        <f t="array" aca="1" ref="G6" ca="1">IFERROR(SUMIFS(Database!$H:$H, Database!$B:$B,"*" &amp; (MID(CELL("filename",B1),FIND("]",CELL("filename",B1))+1,255)) &amp; "*", Database!$D:$D, MONTH(G$3)) / SUMIFS(Database!$G:$G, Database!$B:$B,"*"&amp; MID(CELL("filename",B1),FIND("]",CELL("filename",B1))+1,255) &amp; "*", Database!$D:$D, MONTH(G$3)), "")</f>
        <v/>
      </c>
      <c r="H6" s="266" t="str" cm="1">
        <f t="array" aca="1" ref="H6" ca="1">IFERROR(SUMIFS(Database!$H:$H, Database!$B:$B,"*" &amp; (MID(CELL("filename",C1),FIND("]",CELL("filename",C1))+1,255)) &amp; "*", Database!$D:$D, MONTH(H$3)) / SUMIFS(Database!$G:$G, Database!$B:$B,"*"&amp; MID(CELL("filename",C1),FIND("]",CELL("filename",C1))+1,255) &amp; "*", Database!$D:$D, MONTH(H$3)), "")</f>
        <v/>
      </c>
      <c r="I6" s="265" t="str" cm="1">
        <f t="array" aca="1" ref="I6" ca="1">IFERROR(SUMIFS(Database!$H:$H, Database!$B:$B,"*" &amp; (MID(CELL("filename",D1),FIND("]",CELL("filename",D1))+1,255)) &amp; "*", Database!$D:$D, MONTH(I$3)) / SUMIFS(Database!$G:$G, Database!$B:$B,"*"&amp; MID(CELL("filename",D1),FIND("]",CELL("filename",D1))+1,255) &amp; "*", Database!$D:$D, MONTH(I$3)), "")</f>
        <v/>
      </c>
      <c r="J6" s="265" t="str" cm="1">
        <f t="array" aca="1" ref="J6" ca="1">IFERROR(SUMIFS(Database!$H:$H, Database!$B:$B,"*" &amp; (MID(CELL("filename",E1),FIND("]",CELL("filename",E1))+1,255)) &amp; "*", Database!$D:$D, MONTH(J$3)) / SUMIFS(Database!$G:$G, Database!$B:$B,"*"&amp; MID(CELL("filename",E1),FIND("]",CELL("filename",E1))+1,255) &amp; "*", Database!$D:$D, MONTH(J$3)), "")</f>
        <v/>
      </c>
      <c r="K6" s="277" t="str" cm="1">
        <f t="array" aca="1" ref="K6" ca="1">IFERROR(SUMIFS(Database!$H:$H, Database!$B:$B,"*" &amp; (MID(CELL("filename",F1),FIND("]",CELL("filename",F1))+1,255)) &amp; "*", Database!$D:$D, MONTH(K$3)) / SUMIFS(Database!$G:$G, Database!$B:$B,"*"&amp; MID(CELL("filename",F1),FIND("]",CELL("filename",F1))+1,255) &amp; "*", Database!$D:$D, MONTH(K$3)), "")</f>
        <v/>
      </c>
      <c r="L6" s="265" t="str" cm="1">
        <f t="array" aca="1" ref="L6" ca="1">IFERROR(SUMIFS(Database!$H:$H, Database!$B:$B,"*" &amp; (MID(CELL("filename",G1),FIND("]",CELL("filename",G1))+1,255)) &amp; "*", Database!$D:$D, MONTH(L$3)) / SUMIFS(Database!$G:$G, Database!$B:$B,"*"&amp; MID(CELL("filename",G1),FIND("]",CELL("filename",G1))+1,255) &amp; "*", Database!$D:$D, MONTH(L$3)), "")</f>
        <v/>
      </c>
      <c r="M6" s="265" t="str" cm="1">
        <f t="array" aca="1" ref="M6" ca="1">IFERROR(SUMIFS(Database!$H:$H, Database!$B:$B,"*" &amp; (MID(CELL("filename",H1),FIND("]",CELL("filename",H1))+1,255)) &amp; "*", Database!$D:$D, MONTH(M$3)) / SUMIFS(Database!$G:$G, Database!$B:$B,"*"&amp; MID(CELL("filename",H1),FIND("]",CELL("filename",H1))+1,255) &amp; "*", Database!$D:$D, MONTH(M$3)), "")</f>
        <v/>
      </c>
      <c r="N6" s="277" t="str" cm="1">
        <f t="array" aca="1" ref="N6" ca="1">IFERROR(SUMIFS(Database!$H:$H, Database!$B:$B,"*" &amp; (MID(CELL("filename",I1),FIND("]",CELL("filename",I1))+1,255)) &amp; "*", Database!$D:$D, MONTH(N$3)) / SUMIFS(Database!$G:$G, Database!$B:$B,"*"&amp; MID(CELL("filename",I1),FIND("]",CELL("filename",I1))+1,255) &amp; "*", Database!$D:$D, MONTH(N$3)), "")</f>
        <v/>
      </c>
      <c r="O6" s="265" t="str" cm="1">
        <f t="array" aca="1" ref="O6" ca="1">IFERROR(SUMIFS(Database!$H:$H, Database!$B:$B,"*" &amp; (MID(CELL("filename",J1),FIND("]",CELL("filename",J1))+1,255)) &amp; "*", Database!$D:$D, MONTH(O$3)) / SUMIFS(Database!$G:$G, Database!$B:$B,"*"&amp; MID(CELL("filename",J1),FIND("]",CELL("filename",J1))+1,255) &amp; "*", Database!$D:$D, MONTH(O$3)), "")</f>
        <v/>
      </c>
      <c r="P6" s="265" t="str" cm="1">
        <f t="array" aca="1" ref="P6" ca="1">IFERROR(SUMIFS(Database!$H:$H, Database!$B:$B,"*" &amp; (MID(CELL("filename",K1),FIND("]",CELL("filename",K1))+1,255)) &amp; "*", Database!$D:$D, MONTH(P$3)) / SUMIFS(Database!$G:$G, Database!$B:$B,"*"&amp; MID(CELL("filename",K1),FIND("]",CELL("filename",K1))+1,255) &amp; "*", Database!$D:$D, MONTH(P$3)), "")</f>
        <v/>
      </c>
      <c r="Q6" s="277" t="str" cm="1">
        <f t="array" aca="1" ref="Q6" ca="1">IFERROR(SUMIFS(Database!$H:$H, Database!$B:$B,"*" &amp; (MID(CELL("filename",L1),FIND("]",CELL("filename",L1))+1,255)) &amp; "*", Database!$D:$D, MONTH(Q$3)) / SUMIFS(Database!$G:$G, Database!$B:$B,"*"&amp; MID(CELL("filename",L1),FIND("]",CELL("filename",L1))+1,255) &amp; "*", Database!$D:$D, MONTH(Q$3)), "")</f>
        <v/>
      </c>
      <c r="R6" s="266" t="s">
        <v>30</v>
      </c>
      <c r="S6" s="148"/>
      <c r="T6" s="149">
        <v>0.61</v>
      </c>
      <c r="U6" s="149">
        <v>0.52</v>
      </c>
      <c r="V6" s="149">
        <v>0.53</v>
      </c>
      <c r="W6" s="120"/>
      <c r="X6" s="120"/>
    </row>
    <row r="7" spans="1:24" s="3" customFormat="1" ht="18" customHeight="1">
      <c r="A7" s="120"/>
      <c r="B7" s="393"/>
      <c r="C7" s="8" t="s">
        <v>35</v>
      </c>
      <c r="D7" s="397" t="s">
        <v>36</v>
      </c>
      <c r="E7" s="193">
        <v>0.8</v>
      </c>
      <c r="F7" s="369">
        <v>1</v>
      </c>
      <c r="G7" s="271"/>
      <c r="H7" s="272"/>
      <c r="I7" s="273"/>
      <c r="J7" s="274"/>
      <c r="K7" s="272"/>
      <c r="L7" s="270"/>
      <c r="M7" s="271"/>
      <c r="N7" s="272"/>
      <c r="O7" s="270"/>
      <c r="P7" s="271"/>
      <c r="Q7" s="272"/>
      <c r="R7" s="281">
        <v>1</v>
      </c>
      <c r="S7" s="154"/>
      <c r="T7" s="156">
        <v>0.65</v>
      </c>
      <c r="U7" s="156">
        <v>0.48</v>
      </c>
      <c r="V7" s="156">
        <v>0.28999999999999998</v>
      </c>
      <c r="W7" s="120"/>
      <c r="X7" s="120"/>
    </row>
    <row r="8" spans="1:24" s="3" customFormat="1" ht="18" customHeight="1">
      <c r="A8" s="120"/>
      <c r="B8" s="393"/>
      <c r="C8" s="9" t="s">
        <v>37</v>
      </c>
      <c r="D8" s="396"/>
      <c r="E8" s="194">
        <v>0.8</v>
      </c>
      <c r="F8" s="264">
        <v>1</v>
      </c>
      <c r="G8" s="265"/>
      <c r="H8" s="266"/>
      <c r="I8" s="275"/>
      <c r="J8" s="276"/>
      <c r="K8" s="277"/>
      <c r="L8" s="278"/>
      <c r="M8" s="265"/>
      <c r="N8" s="269"/>
      <c r="O8" s="278"/>
      <c r="P8" s="265"/>
      <c r="Q8" s="269"/>
      <c r="R8" s="266">
        <v>1</v>
      </c>
      <c r="S8" s="148"/>
      <c r="T8" s="158">
        <v>0.66</v>
      </c>
      <c r="U8" s="158">
        <v>0.37</v>
      </c>
      <c r="V8" s="158">
        <v>0.38</v>
      </c>
      <c r="W8" s="120"/>
      <c r="X8" s="120"/>
    </row>
    <row r="9" spans="1:24" s="3" customFormat="1" ht="18" customHeight="1">
      <c r="A9" s="120"/>
      <c r="B9" s="393"/>
      <c r="C9" s="7" t="s">
        <v>38</v>
      </c>
      <c r="D9" s="388" t="s">
        <v>39</v>
      </c>
      <c r="E9" s="191">
        <v>0.3</v>
      </c>
      <c r="F9" s="267">
        <f>_xlfn.XLOOKUP($X$1, Database!$AG$4:$AG$19, Database!AI$4:AI$19)</f>
        <v>1.7999999999999999E-2</v>
      </c>
      <c r="G9" s="268" t="str">
        <f>IF(_xlfn.XLOOKUP($X$1, Database!$AG$4:$AG$19, Database!AJ$4:AJ$19)=0,"",_xlfn.XLOOKUP($X$1, Database!$AG$4:$AG$19, Database!AJ$4:AJ$19))</f>
        <v/>
      </c>
      <c r="H9" s="279" t="str">
        <f>IF(_xlfn.XLOOKUP($X$1, Database!$AG$4:$AG$19, Database!AK$4:AK$19)=0,"",_xlfn.XLOOKUP($X$1, Database!$AG$4:$AG$19, Database!AK$4:AK$19))</f>
        <v/>
      </c>
      <c r="I9" s="267" t="str">
        <f>IF(_xlfn.XLOOKUP($X$1, Database!$AG$4:$AG$19, Database!AL$4:AL$19)=0,"",_xlfn.XLOOKUP($X$1, Database!$AG$4:$AG$19, Database!AL$4:AL$19))</f>
        <v/>
      </c>
      <c r="J9" s="268" t="str">
        <f>IF(_xlfn.XLOOKUP($X$1, Database!$AG$4:$AG$19, Database!AM$4:AM$19)=0,"",_xlfn.XLOOKUP($X$1, Database!$AG$4:$AG$19, Database!AM$4:AM$19))</f>
        <v/>
      </c>
      <c r="K9" s="280" t="str">
        <f>IF(_xlfn.XLOOKUP($X$1, Database!$AG$4:$AG$19, Database!AN$4:AN$19)=0,"",_xlfn.XLOOKUP($X$1, Database!$AG$4:$AG$19, Database!AN$4:AN$19))</f>
        <v/>
      </c>
      <c r="L9" s="267" t="str">
        <f>IF(_xlfn.XLOOKUP($X$1, Database!$AG$4:$AG$19, Database!AO$4:AO$19)=0,"",_xlfn.XLOOKUP($X$1, Database!$AG$4:$AG$19, Database!AO$4:AO$19))</f>
        <v/>
      </c>
      <c r="M9" s="268" t="str">
        <f>IF(_xlfn.XLOOKUP($X$1, Database!$AG$4:$AG$19, Database!AP$4:AP$19)=0,"",_xlfn.XLOOKUP($X$1, Database!$AG$4:$AG$19, Database!AP$4:AP$19))</f>
        <v/>
      </c>
      <c r="N9" s="281" t="str">
        <f>IF(_xlfn.XLOOKUP($X$1, Database!$AG$4:$AG$19, Database!AQ$4:AQ$19)=0,"",_xlfn.XLOOKUP($X$1, Database!$AG$4:$AG$19, Database!AQ$4:AQ$19))</f>
        <v/>
      </c>
      <c r="O9" s="267" t="str">
        <f>IF(_xlfn.XLOOKUP($X$1, Database!$AG$4:$AG$19, Database!AR$4:AR$19)=0,"",_xlfn.XLOOKUP($X$1, Database!$AG$4:$AG$19, Database!AR$4:AR$19))</f>
        <v/>
      </c>
      <c r="P9" s="268" t="str">
        <f>IF(_xlfn.XLOOKUP($X$1, Database!$AG$4:$AG$19, Database!AS$4:AS$19)=0,"",_xlfn.XLOOKUP($X$1, Database!$AG$4:$AG$19, Database!AS$4:AS$19))</f>
        <v/>
      </c>
      <c r="Q9" s="281" t="str">
        <f>IF(_xlfn.XLOOKUP($X$1, Database!$AG$4:$AG$19, Database!AT$4:AT$19)=0,"",_xlfn.XLOOKUP($X$1, Database!$AG$4:$AG$19, Database!AT$4:AT$19))</f>
        <v/>
      </c>
      <c r="R9" s="279">
        <f>IFERROR(_xlfn.XLOOKUP($X$1, Database!$AG$4:$AG$19, Database!AH$4:AH$19),"NA")</f>
        <v>1.7999999999999999E-2</v>
      </c>
      <c r="S9" s="162"/>
      <c r="T9" s="149">
        <v>0.28999999999999998</v>
      </c>
      <c r="U9" s="149">
        <v>0.24</v>
      </c>
      <c r="V9" s="149">
        <v>0.14000000000000001</v>
      </c>
      <c r="W9" s="120"/>
      <c r="X9" s="120"/>
    </row>
    <row r="10" spans="1:24" s="3" customFormat="1" ht="18" customHeight="1" thickBot="1">
      <c r="A10" s="120"/>
      <c r="B10" s="394"/>
      <c r="C10" s="97" t="s">
        <v>40</v>
      </c>
      <c r="D10" s="389"/>
      <c r="E10" s="191">
        <v>0.45</v>
      </c>
      <c r="F10" s="326">
        <f>_xlfn.XLOOKUP($X$1, Database!$AG$29:$AG$44,Database!AI$29:AI$44)</f>
        <v>0</v>
      </c>
      <c r="G10" s="327" t="str">
        <f>IF(_xlfn.XLOOKUP($X$1, Database!$AG$29:$AG$44,Database!AJ$29:AJ$44)=0,"",_xlfn.XLOOKUP($X$1, Database!$AG$29:$AG$44,Database!AJ$29:AJ$44))</f>
        <v/>
      </c>
      <c r="H10" s="328" t="str">
        <f>IF(_xlfn.XLOOKUP($X$1, Database!$AG$29:$AG$44,Database!AK$29:AK$44)=0,"",_xlfn.XLOOKUP($X$1, Database!$AG$29:$AG$44,Database!AK$29:AK$44))</f>
        <v/>
      </c>
      <c r="I10" s="326" t="str">
        <f>IF(_xlfn.XLOOKUP($X$1, Database!$AG$29:$AG$44,Database!AL$29:AL$44)=0,"",_xlfn.XLOOKUP($X$1, Database!$AG$29:$AG$44,Database!AL$29:AL$44))</f>
        <v/>
      </c>
      <c r="J10" s="327" t="str">
        <f>IF(_xlfn.XLOOKUP($X$1, Database!$AG$29:$AG$44,Database!AM$29:AM$44)=0,"",_xlfn.XLOOKUP($X$1, Database!$AG$29:$AG$44,Database!AM$29:AM$44))</f>
        <v/>
      </c>
      <c r="K10" s="345" t="str">
        <f>IF(_xlfn.XLOOKUP($X$1, Database!$AG$29:$AG$44,Database!AN$29:AN$44)=0,"",_xlfn.XLOOKUP($X$1, Database!$AG$29:$AG$44,Database!AN$29:AN$44))</f>
        <v/>
      </c>
      <c r="L10" s="283" t="str">
        <f>IF(_xlfn.XLOOKUP($X$1, Database!$AG$29:$AG$44,Database!AO$29:AO$44)=0,"",_xlfn.XLOOKUP($X$1, Database!$AG$29:$AG$44,Database!AO$29:AO$44))</f>
        <v/>
      </c>
      <c r="M10" s="284" t="str">
        <f>IF(_xlfn.XLOOKUP($X$1, Database!$AG$29:$AG$44,Database!AP$29:AP$44)=0,"",_xlfn.XLOOKUP($X$1, Database!$AG$29:$AG$44,Database!AP$29:AP$44))</f>
        <v/>
      </c>
      <c r="N10" s="285" t="str">
        <f>IF(_xlfn.XLOOKUP($X$1, Database!$AG$29:$AG$44,Database!AQ$29:AQ$44)=0,"",_xlfn.XLOOKUP($X$1, Database!$AG$29:$AG$44,Database!AQ$29:AQ$44))</f>
        <v/>
      </c>
      <c r="O10" s="283" t="str">
        <f>IF(_xlfn.XLOOKUP($X$1, Database!$AG$29:$AG$44,Database!AR$29:AR$44)=0,"",_xlfn.XLOOKUP($X$1, Database!$AG$29:$AG$44,Database!AR$29:AR$44))</f>
        <v/>
      </c>
      <c r="P10" s="284" t="str">
        <f>IF(_xlfn.XLOOKUP($X$1, Database!$AG$29:$AG$44,Database!AS$29:AS$44)=0,"",_xlfn.XLOOKUP($X$1, Database!$AG$29:$AG$44,Database!AS$29:AS$44))</f>
        <v/>
      </c>
      <c r="Q10" s="285" t="str">
        <f>IF(_xlfn.XLOOKUP($X$1, Database!$AG$29:$AG$44,Database!AT$29:AT$44)=0,"",_xlfn.XLOOKUP($X$1, Database!$AG$29:$AG$44,Database!AT$29:AT$44))</f>
        <v/>
      </c>
      <c r="R10" s="329" t="str">
        <f>IFERROR(_xlfn.XLOOKUP($X$1, Database!$AG$29:$AG$44,Database!AH$29:AH$44),"NA")</f>
        <v>NA</v>
      </c>
      <c r="S10" s="162"/>
      <c r="T10" s="149">
        <v>0.62</v>
      </c>
      <c r="U10" s="174" t="s">
        <v>30</v>
      </c>
      <c r="V10" s="174" t="s">
        <v>30</v>
      </c>
      <c r="W10" s="120"/>
      <c r="X10" s="120"/>
    </row>
    <row r="11" spans="1:24" s="3" customFormat="1" ht="18" customHeight="1">
      <c r="A11" s="120"/>
      <c r="B11" s="398" t="s">
        <v>50</v>
      </c>
      <c r="C11" s="96" t="s">
        <v>42</v>
      </c>
      <c r="D11" s="388" t="s">
        <v>51</v>
      </c>
      <c r="E11" s="208">
        <v>20.079999999999998</v>
      </c>
      <c r="F11" s="293">
        <f>IF(SUMIFS(Database!$Z:$Z,Database!$Y:$Y,"Ze Delivery",Database!$W:$W,MONTH(F$3))=0, "", SUMIFS(Database!$Z:$Z,Database!$Y:$Y,"Ze Delivery",Database!$W:$W,MONTH(F$3)))</f>
        <v>24.193663730000001</v>
      </c>
      <c r="G11" s="294" t="str">
        <f>IF(SUMIFS(Database!$Z:$Z,Database!$Y:$Y,"Ze Delivery",Database!$W:$W,MONTH(G$3))=0, "", SUMIFS(Database!$Z:$Z,Database!$Y:$Y,"Ze Delivery",Database!$W:$W,MONTH(G$3)))</f>
        <v/>
      </c>
      <c r="H11" s="292" t="str">
        <f>IF(SUMIFS(Database!$Z:$Z,Database!$Y:$Y,"Ze Delivery",Database!$W:$W,MONTH(H$3))=0, "", SUMIFS(Database!$Z:$Z,Database!$Y:$Y,"Ze Delivery",Database!$W:$W,MONTH(H$3)))</f>
        <v/>
      </c>
      <c r="I11" s="293" t="str">
        <f>IF(SUMIFS(Database!$Z:$Z,Database!$Y:$Y,"Ze Delivery",Database!$W:$W,MONTH(I$3))=0, "", SUMIFS(Database!$Z:$Z,Database!$Y:$Y,"Ze Delivery",Database!$W:$W,MONTH(I$3)))</f>
        <v/>
      </c>
      <c r="J11" s="294" t="str">
        <f>IF(SUMIFS(Database!$Z:$Z,Database!$Y:$Y,"Ze Delivery",Database!$W:$W,MONTH(J$3))=0, "", SUMIFS(Database!$Z:$Z,Database!$Y:$Y,"Ze Delivery",Database!$W:$W,MONTH(J$3)))</f>
        <v/>
      </c>
      <c r="K11" s="292" t="str">
        <f>IF(SUMIFS(Database!$Z:$Z,Database!$Y:$Y,"Ze Delivery",Database!$W:$W,MONTH(K$3))=0, "", SUMIFS(Database!$Z:$Z,Database!$Y:$Y,"Ze Delivery",Database!$W:$W,MONTH(K$3)))</f>
        <v/>
      </c>
      <c r="L11" s="293" t="str">
        <f>IF(SUMIFS(Database!$Z:$Z,Database!$Y:$Y,"Ze Delivery",Database!$W:$W,MONTH(L$3))=0, "", SUMIFS(Database!$Z:$Z,Database!$Y:$Y,"Ze Delivery",Database!$W:$W,MONTH(L$3)))</f>
        <v/>
      </c>
      <c r="M11" s="294" t="str">
        <f>IF(SUMIFS(Database!$Z:$Z,Database!$Y:$Y,"Ze Delivery",Database!$W:$W,MONTH(M$3))=0, "", SUMIFS(Database!$Z:$Z,Database!$Y:$Y,"Ze Delivery",Database!$W:$W,MONTH(M$3)))</f>
        <v/>
      </c>
      <c r="N11" s="292" t="str">
        <f>IF(SUMIFS(Database!$Z:$Z,Database!$Y:$Y,"Ze Delivery",Database!$W:$W,MONTH(N$3))=0, "", SUMIFS(Database!$Z:$Z,Database!$Y:$Y,"Ze Delivery",Database!$W:$W,MONTH(N$3)))</f>
        <v/>
      </c>
      <c r="O11" s="293" t="str">
        <f>IF(SUMIFS(Database!$Z:$Z,Database!$Y:$Y,"Ze Delivery",Database!$W:$W,MONTH(O$3))=0, "", SUMIFS(Database!$Z:$Z,Database!$Y:$Y,"Ze Delivery",Database!$W:$W,MONTH(O$3)))</f>
        <v/>
      </c>
      <c r="P11" s="295" t="str">
        <f>IF(SUMIFS(Database!$Z:$Z,Database!$Y:$Y,"Ze Delivery",Database!$W:$W,MONTH(P$3))=0, "", SUMIFS(Database!$Z:$Z,Database!$Y:$Y,"Ze Delivery",Database!$W:$W,MONTH(P$3)))</f>
        <v/>
      </c>
      <c r="Q11" s="282" t="str">
        <f>IF(SUMIFS(Database!$Z:$Z,Database!$Y:$Y,"Ze Delivery",Database!$W:$W,MONTH(Q$3))=0, "", SUMIFS(Database!$Z:$Z,Database!$Y:$Y,"Ze Delivery",Database!$W:$W,MONTH(Q$3)))</f>
        <v/>
      </c>
      <c r="R11" s="296">
        <f>IFERROR(SUMIFS(Database!$AE:$AE, Database!$Y:$Y, "Ze Delivery") / SUMIFS(Database!$AD:$AD, Database!$Y:$Y, "Ze Delivery"), "")</f>
        <v>24.193663726790451</v>
      </c>
      <c r="S11" s="169"/>
      <c r="T11" s="330">
        <v>28.32</v>
      </c>
      <c r="U11" s="196">
        <v>23.31</v>
      </c>
      <c r="V11" s="207" t="s">
        <v>30</v>
      </c>
      <c r="W11" s="138"/>
      <c r="X11" s="138"/>
    </row>
    <row r="12" spans="1:24" s="3" customFormat="1" ht="18" customHeight="1" thickBot="1">
      <c r="A12" s="120"/>
      <c r="B12" s="399"/>
      <c r="C12" s="97" t="s">
        <v>43</v>
      </c>
      <c r="D12" s="389"/>
      <c r="E12" s="360">
        <v>1.75</v>
      </c>
      <c r="F12" s="298">
        <f>IF(SUMIFS(Database!$AA:$AA,Database!$Y:$Y,"Ze Delivery",Database!$W:$W,MONTH(F$3))=0, "", SUMIFS(Database!$AA:$AA,Database!$Y:$Y,"Ze Delivery",Database!$W:$W,MONTH(F$3)))</f>
        <v>3.1270987570000002</v>
      </c>
      <c r="G12" s="299" t="str">
        <f>IF(SUMIFS(Database!$AA:$AA,Database!$Y:$Y,"Ze Delivery",Database!$W:$W,MONTH(G$3))=0, "", SUMIFS(Database!$AA:$AA,Database!$Y:$Y,"Ze Delivery",Database!$W:$W,MONTH(G$3)))</f>
        <v/>
      </c>
      <c r="H12" s="297" t="str">
        <f>IF(SUMIFS(Database!$AA:$AA,Database!$Y:$Y,"Ze Delivery",Database!$W:$W,MONTH(H$3))=0, "", SUMIFS(Database!$AA:$AA,Database!$Y:$Y,"Ze Delivery",Database!$W:$W,MONTH(H$3)))</f>
        <v/>
      </c>
      <c r="I12" s="298" t="str">
        <f>IF(SUMIFS(Database!$AA:$AA,Database!$Y:$Y,"Ze Delivery",Database!$W:$W,MONTH(I$3))=0, "", SUMIFS(Database!$AA:$AA,Database!$Y:$Y,"Ze Delivery",Database!$W:$W,MONTH(I$3)))</f>
        <v/>
      </c>
      <c r="J12" s="299" t="str">
        <f>IF(SUMIFS(Database!$AA:$AA,Database!$Y:$Y,"Ze Delivery",Database!$W:$W,MONTH(J$3))=0, "", SUMIFS(Database!$AA:$AA,Database!$Y:$Y,"Ze Delivery",Database!$W:$W,MONTH(J$3)))</f>
        <v/>
      </c>
      <c r="K12" s="297" t="str">
        <f>IF(SUMIFS(Database!$AA:$AA,Database!$Y:$Y,"Ze Delivery",Database!$W:$W,MONTH(K$3))=0, "", SUMIFS(Database!$AA:$AA,Database!$Y:$Y,"Ze Delivery",Database!$W:$W,MONTH(K$3)))</f>
        <v/>
      </c>
      <c r="L12" s="298" t="str">
        <f>IF(SUMIFS(Database!$AA:$AA,Database!$Y:$Y,"Ze Delivery",Database!$W:$W,MONTH(L$3))=0, "", SUMIFS(Database!$AA:$AA,Database!$Y:$Y,"Ze Delivery",Database!$W:$W,MONTH(L$3)))</f>
        <v/>
      </c>
      <c r="M12" s="299" t="str">
        <f>IF(SUMIFS(Database!$AA:$AA,Database!$Y:$Y,"Ze Delivery",Database!$W:$W,MONTH(M$3))=0, "", SUMIFS(Database!$AA:$AA,Database!$Y:$Y,"Ze Delivery",Database!$W:$W,MONTH(M$3)))</f>
        <v/>
      </c>
      <c r="N12" s="297" t="str">
        <f>IF(SUMIFS(Database!$AA:$AA,Database!$Y:$Y,"Ze Delivery",Database!$W:$W,MONTH(N$3))=0, "", SUMIFS(Database!$AA:$AA,Database!$Y:$Y,"Ze Delivery",Database!$W:$W,MONTH(N$3)))</f>
        <v/>
      </c>
      <c r="O12" s="298" t="str">
        <f>IF(SUMIFS(Database!$AA:$AA,Database!$Y:$Y,"Ze Delivery",Database!$W:$W,MONTH(O$3))=0, "", SUMIFS(Database!$AA:$AA,Database!$Y:$Y,"Ze Delivery",Database!$W:$W,MONTH(O$3)))</f>
        <v/>
      </c>
      <c r="P12" s="300" t="str">
        <f>IF(SUMIFS(Database!$AA:$AA,Database!$Y:$Y,"Ze Delivery",Database!$W:$W,MONTH(P$3))=0, "", SUMIFS(Database!$AA:$AA,Database!$Y:$Y,"Ze Delivery",Database!$W:$W,MONTH(P$3)))</f>
        <v/>
      </c>
      <c r="Q12" s="301" t="str">
        <f>IF(SUMIFS(Database!$AA:$AA,Database!$Y:$Y,"Ze Delivery",Database!$W:$W,MONTH(Q$3))=0, "", SUMIFS(Database!$AA:$AA,Database!$Y:$Y,"Ze Delivery",Database!$W:$W,MONTH(Q$3)))</f>
        <v/>
      </c>
      <c r="R12" s="302">
        <f>IFERROR(SUMIFS(Database!$AC:$AC, Database!$Y:$Y, "Ze Delivery") / SUMIFS(Database!$AB:$AB, Database!$Y:$Y, "Ze Delivery"), "")</f>
        <v>3.1270987569618209</v>
      </c>
      <c r="S12" s="204"/>
      <c r="T12" s="331">
        <v>2.06</v>
      </c>
      <c r="U12" s="224">
        <v>2.54</v>
      </c>
      <c r="V12" s="201" t="s">
        <v>30</v>
      </c>
      <c r="W12" s="138"/>
      <c r="X12" s="138"/>
    </row>
    <row r="13" spans="1:24" s="3" customFormat="1" ht="18" customHeight="1">
      <c r="A13" s="120"/>
      <c r="B13" s="384" t="s">
        <v>44</v>
      </c>
      <c r="C13" s="7" t="s">
        <v>45</v>
      </c>
      <c r="D13" s="387" t="s">
        <v>46</v>
      </c>
      <c r="E13" s="191">
        <v>0.8</v>
      </c>
      <c r="F13" s="303" t="s">
        <v>30</v>
      </c>
      <c r="G13" s="304"/>
      <c r="H13" s="305"/>
      <c r="I13" s="306"/>
      <c r="J13" s="268"/>
      <c r="K13" s="279"/>
      <c r="L13" s="306"/>
      <c r="M13" s="268"/>
      <c r="N13" s="279"/>
      <c r="O13" s="306"/>
      <c r="P13" s="268"/>
      <c r="Q13" s="282"/>
      <c r="R13" s="279" t="s">
        <v>30</v>
      </c>
      <c r="S13" s="162"/>
      <c r="T13" s="149">
        <v>0.88</v>
      </c>
      <c r="U13" s="149">
        <v>0.53</v>
      </c>
      <c r="V13" s="149">
        <v>0.57999999999999996</v>
      </c>
      <c r="W13" s="120"/>
      <c r="X13" s="120"/>
    </row>
    <row r="14" spans="1:24" s="3" customFormat="1" ht="18" customHeight="1">
      <c r="A14" s="120"/>
      <c r="B14" s="385"/>
      <c r="C14" s="7" t="s">
        <v>47</v>
      </c>
      <c r="D14" s="388"/>
      <c r="E14" s="191">
        <v>0.9</v>
      </c>
      <c r="F14" s="307" t="s">
        <v>30</v>
      </c>
      <c r="G14" s="308"/>
      <c r="H14" s="309"/>
      <c r="I14" s="306"/>
      <c r="J14" s="268"/>
      <c r="K14" s="279"/>
      <c r="L14" s="306"/>
      <c r="M14" s="268"/>
      <c r="N14" s="279"/>
      <c r="O14" s="306"/>
      <c r="P14" s="268"/>
      <c r="Q14" s="282"/>
      <c r="R14" s="279" t="s">
        <v>30</v>
      </c>
      <c r="S14" s="176">
        <v>0.92</v>
      </c>
      <c r="T14" s="149">
        <v>0.92</v>
      </c>
      <c r="U14" s="174"/>
      <c r="V14" s="174" t="s">
        <v>30</v>
      </c>
      <c r="W14" s="120"/>
      <c r="X14" s="120"/>
    </row>
    <row r="15" spans="1:24" s="3" customFormat="1" ht="18" customHeight="1" thickBot="1">
      <c r="A15" s="120"/>
      <c r="B15" s="386"/>
      <c r="C15" s="1" t="s">
        <v>48</v>
      </c>
      <c r="D15" s="389"/>
      <c r="E15" s="203">
        <v>0.05</v>
      </c>
      <c r="F15" s="310" t="s">
        <v>30</v>
      </c>
      <c r="G15" s="311"/>
      <c r="H15" s="312"/>
      <c r="I15" s="313"/>
      <c r="J15" s="314"/>
      <c r="K15" s="315"/>
      <c r="L15" s="313"/>
      <c r="M15" s="314"/>
      <c r="N15" s="315"/>
      <c r="O15" s="316"/>
      <c r="P15" s="314"/>
      <c r="Q15" s="317"/>
      <c r="R15" s="315" t="s">
        <v>30</v>
      </c>
      <c r="S15" s="181"/>
      <c r="T15" s="324">
        <v>5.7000000000000002E-2</v>
      </c>
      <c r="U15" s="165" t="s">
        <v>30</v>
      </c>
      <c r="V15" s="165" t="s">
        <v>30</v>
      </c>
      <c r="W15" s="120"/>
      <c r="X15" s="120"/>
    </row>
    <row r="16" spans="1:24">
      <c r="A16" s="383"/>
      <c r="B16" s="383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8"/>
      <c r="X16" s="118"/>
    </row>
    <row r="17" spans="1:24">
      <c r="A17" s="383"/>
      <c r="B17" s="383"/>
      <c r="C17" s="20"/>
      <c r="D17" s="118"/>
      <c r="E17" s="118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8"/>
      <c r="X17" s="118"/>
    </row>
    <row r="18" spans="1:24">
      <c r="A18" s="383"/>
      <c r="B18" s="383"/>
      <c r="C18" s="118"/>
      <c r="D18" s="225"/>
      <c r="E18" s="118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8"/>
      <c r="X18" s="118"/>
    </row>
    <row r="19" spans="1:24">
      <c r="A19" s="383"/>
      <c r="B19" s="383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8"/>
      <c r="X19" s="118"/>
    </row>
    <row r="20" spans="1:24">
      <c r="A20" s="383"/>
      <c r="B20" s="383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8"/>
      <c r="X20" s="118"/>
    </row>
    <row r="23" spans="1:24">
      <c r="G23" s="91"/>
    </row>
    <row r="25" spans="1:24">
      <c r="D25" s="18"/>
    </row>
    <row r="26" spans="1:24">
      <c r="D26" s="18"/>
      <c r="F26" s="94"/>
    </row>
    <row r="27" spans="1:24">
      <c r="D27" s="90"/>
    </row>
  </sheetData>
  <mergeCells count="15">
    <mergeCell ref="D13:D15"/>
    <mergeCell ref="B2:V2"/>
    <mergeCell ref="B5:B10"/>
    <mergeCell ref="D5:D6"/>
    <mergeCell ref="D7:D8"/>
    <mergeCell ref="D9:D10"/>
    <mergeCell ref="B11:B12"/>
    <mergeCell ref="D11:D12"/>
    <mergeCell ref="A20:B20"/>
    <mergeCell ref="A1:B1"/>
    <mergeCell ref="A16:B16"/>
    <mergeCell ref="A17:B17"/>
    <mergeCell ref="A18:B18"/>
    <mergeCell ref="A19:B19"/>
    <mergeCell ref="B13:B15"/>
  </mergeCells>
  <conditionalFormatting sqref="F4:R4">
    <cfRule type="cellIs" dxfId="28" priority="11" stopIfTrue="1" operator="between">
      <formula>0.22</formula>
      <formula>0.32</formula>
    </cfRule>
    <cfRule type="cellIs" dxfId="27" priority="14" stopIfTrue="1" operator="notBetween">
      <formula>0.22</formula>
      <formula>0.32</formula>
    </cfRule>
  </conditionalFormatting>
  <conditionalFormatting sqref="F4:R15">
    <cfRule type="beginsWith" dxfId="26" priority="1" stopIfTrue="1" operator="beginsWith" text="NA">
      <formula>LEFT(F4,LEN("NA"))="NA"</formula>
    </cfRule>
    <cfRule type="containsBlanks" dxfId="25" priority="2" stopIfTrue="1">
      <formula>LEN(TRIM(F4))=0</formula>
    </cfRule>
  </conditionalFormatting>
  <conditionalFormatting sqref="F5:R10">
    <cfRule type="cellIs" dxfId="24" priority="12" stopIfTrue="1" operator="greaterThan">
      <formula>$E5</formula>
    </cfRule>
    <cfRule type="cellIs" dxfId="23" priority="13" stopIfTrue="1" operator="lessThan">
      <formula>$E5</formula>
    </cfRule>
  </conditionalFormatting>
  <conditionalFormatting sqref="F11:R12">
    <cfRule type="cellIs" dxfId="22" priority="7" stopIfTrue="1" operator="lessThan">
      <formula>$E11</formula>
    </cfRule>
    <cfRule type="cellIs" dxfId="21" priority="8" stopIfTrue="1" operator="greaterThan">
      <formula>$E11</formula>
    </cfRule>
  </conditionalFormatting>
  <conditionalFormatting sqref="F13:R14">
    <cfRule type="cellIs" dxfId="20" priority="5" stopIfTrue="1" operator="greaterThan">
      <formula>$E13</formula>
    </cfRule>
    <cfRule type="cellIs" dxfId="19" priority="6" stopIfTrue="1" operator="lessThan">
      <formula>$E13</formula>
    </cfRule>
  </conditionalFormatting>
  <conditionalFormatting sqref="F15:R15">
    <cfRule type="cellIs" dxfId="18" priority="3" stopIfTrue="1" operator="lessThan">
      <formula>$E$16</formula>
    </cfRule>
    <cfRule type="cellIs" dxfId="17" priority="4" stopIfTrue="1" operator="greaterThan">
      <formula>$E$16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6B6C-CA4B-4E4A-BC96-6E3FBD2B539B}">
  <sheetPr codeName="Sheet21"/>
  <dimension ref="B1:T25"/>
  <sheetViews>
    <sheetView showGridLines="0" zoomScaleNormal="100" workbookViewId="0">
      <selection activeCell="P28" sqref="P28:Q28"/>
    </sheetView>
  </sheetViews>
  <sheetFormatPr baseColWidth="10" defaultColWidth="8.6640625" defaultRowHeight="15"/>
  <cols>
    <col min="1" max="1" width="1.5" customWidth="1"/>
    <col min="2" max="2" width="24" bestFit="1" customWidth="1"/>
    <col min="3" max="3" width="44.1640625" bestFit="1" customWidth="1"/>
    <col min="4" max="4" width="12" bestFit="1" customWidth="1"/>
    <col min="5" max="5" width="9" bestFit="1" customWidth="1"/>
    <col min="6" max="6" width="7.6640625" style="2" customWidth="1"/>
    <col min="7" max="7" width="7" style="2" bestFit="1" customWidth="1"/>
    <col min="8" max="8" width="7.33203125" style="2" bestFit="1" customWidth="1"/>
    <col min="9" max="9" width="9.5" style="2" customWidth="1"/>
    <col min="10" max="10" width="7.1640625" style="2" bestFit="1" customWidth="1"/>
    <col min="11" max="11" width="6.5" style="2" bestFit="1" customWidth="1"/>
    <col min="12" max="12" width="6" style="2" bestFit="1" customWidth="1"/>
    <col min="13" max="13" width="7" style="2" bestFit="1" customWidth="1"/>
    <col min="14" max="14" width="6.5" style="2" bestFit="1" customWidth="1"/>
    <col min="15" max="15" width="6.6640625" style="2" bestFit="1" customWidth="1"/>
    <col min="16" max="16" width="7" style="2" bestFit="1" customWidth="1"/>
    <col min="17" max="17" width="6.6640625" style="2" bestFit="1" customWidth="1"/>
    <col min="18" max="18" width="7.6640625" style="2" customWidth="1"/>
    <col min="19" max="20" width="8" style="2" bestFit="1" customWidth="1"/>
  </cols>
  <sheetData>
    <row r="1" spans="2:20" ht="16" thickBot="1"/>
    <row r="2" spans="2:20" s="3" customFormat="1" ht="25.25" customHeight="1" thickBot="1">
      <c r="B2" s="436" t="s">
        <v>7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8"/>
    </row>
    <row r="3" spans="2:20" s="3" customFormat="1" ht="23" customHeight="1">
      <c r="B3" s="4" t="s">
        <v>8</v>
      </c>
      <c r="C3" s="12" t="s">
        <v>9</v>
      </c>
      <c r="D3" s="12" t="s">
        <v>10</v>
      </c>
      <c r="E3" s="23" t="s">
        <v>11</v>
      </c>
      <c r="F3" s="60">
        <v>45658</v>
      </c>
      <c r="G3" s="60">
        <v>45689</v>
      </c>
      <c r="H3" s="60">
        <v>45717</v>
      </c>
      <c r="I3" s="60">
        <v>45748</v>
      </c>
      <c r="J3" s="60">
        <v>45778</v>
      </c>
      <c r="K3" s="60">
        <v>45809</v>
      </c>
      <c r="L3" s="60">
        <v>45839</v>
      </c>
      <c r="M3" s="60">
        <v>45870</v>
      </c>
      <c r="N3" s="60">
        <v>45901</v>
      </c>
      <c r="O3" s="60">
        <v>45931</v>
      </c>
      <c r="P3" s="60">
        <v>45962</v>
      </c>
      <c r="Q3" s="93">
        <v>45992</v>
      </c>
      <c r="R3" s="95" t="s">
        <v>3</v>
      </c>
      <c r="S3" s="31" t="s">
        <v>24</v>
      </c>
      <c r="T3" s="12" t="s">
        <v>25</v>
      </c>
    </row>
    <row r="4" spans="2:20" s="3" customFormat="1" ht="18" customHeight="1">
      <c r="B4" s="115" t="s">
        <v>26</v>
      </c>
      <c r="C4" s="6" t="s">
        <v>27</v>
      </c>
      <c r="D4" s="13" t="s">
        <v>28</v>
      </c>
      <c r="E4" s="116" t="s">
        <v>29</v>
      </c>
      <c r="F4" s="68" t="s">
        <v>30</v>
      </c>
      <c r="G4" s="69" t="s">
        <v>30</v>
      </c>
      <c r="H4" s="70" t="s">
        <v>30</v>
      </c>
      <c r="I4" s="68" t="s">
        <v>30</v>
      </c>
      <c r="J4" s="69" t="s">
        <v>30</v>
      </c>
      <c r="K4" s="70"/>
      <c r="L4" s="68"/>
      <c r="M4" s="69"/>
      <c r="N4" s="70"/>
      <c r="O4" s="71"/>
      <c r="P4" s="69"/>
      <c r="Q4" s="70"/>
      <c r="R4" s="70" t="s">
        <v>30</v>
      </c>
      <c r="S4" s="33">
        <v>0.31780000000000003</v>
      </c>
      <c r="T4" s="33">
        <v>0.3</v>
      </c>
    </row>
    <row r="5" spans="2:20" s="3" customFormat="1" ht="18" customHeight="1">
      <c r="B5" s="446" t="s">
        <v>31</v>
      </c>
      <c r="C5" s="96" t="s">
        <v>69</v>
      </c>
      <c r="D5" s="449" t="s">
        <v>28</v>
      </c>
      <c r="E5" s="98">
        <v>0.8</v>
      </c>
      <c r="F5" s="99" t="s">
        <v>30</v>
      </c>
      <c r="G5" s="100" t="s">
        <v>30</v>
      </c>
      <c r="H5" s="101" t="s">
        <v>30</v>
      </c>
      <c r="I5" s="99" t="s">
        <v>30</v>
      </c>
      <c r="J5" s="100" t="s">
        <v>30</v>
      </c>
      <c r="K5" s="101"/>
      <c r="L5" s="99"/>
      <c r="M5" s="100"/>
      <c r="N5" s="101"/>
      <c r="O5" s="102"/>
      <c r="P5" s="100"/>
      <c r="Q5" s="101"/>
      <c r="R5" s="101" t="s">
        <v>30</v>
      </c>
      <c r="S5" s="103">
        <v>0.7369</v>
      </c>
      <c r="T5" s="104">
        <v>0.72</v>
      </c>
    </row>
    <row r="6" spans="2:20" s="3" customFormat="1" ht="18" customHeight="1">
      <c r="B6" s="447"/>
      <c r="C6" s="7" t="s">
        <v>34</v>
      </c>
      <c r="D6" s="434"/>
      <c r="E6" s="26">
        <v>0.8</v>
      </c>
      <c r="F6" s="53" t="s">
        <v>30</v>
      </c>
      <c r="G6" s="43" t="s">
        <v>30</v>
      </c>
      <c r="H6" s="54" t="s">
        <v>30</v>
      </c>
      <c r="I6" s="53" t="s">
        <v>30</v>
      </c>
      <c r="J6" s="43" t="s">
        <v>30</v>
      </c>
      <c r="K6" s="54"/>
      <c r="L6" s="53"/>
      <c r="M6" s="43"/>
      <c r="N6" s="54"/>
      <c r="O6" s="46"/>
      <c r="P6" s="43"/>
      <c r="Q6" s="54"/>
      <c r="R6" s="54" t="s">
        <v>30</v>
      </c>
      <c r="S6" s="34">
        <v>0.30520000000000003</v>
      </c>
      <c r="T6" s="105">
        <v>0.55700000000000005</v>
      </c>
    </row>
    <row r="7" spans="2:20" s="3" customFormat="1" ht="18" customHeight="1">
      <c r="B7" s="447"/>
      <c r="C7" s="8" t="s">
        <v>35</v>
      </c>
      <c r="D7" s="442" t="s">
        <v>36</v>
      </c>
      <c r="E7" s="27">
        <v>0.8</v>
      </c>
      <c r="F7" s="51">
        <v>0</v>
      </c>
      <c r="G7" s="47">
        <v>0</v>
      </c>
      <c r="H7" s="52">
        <v>0.5</v>
      </c>
      <c r="I7" s="51">
        <v>0</v>
      </c>
      <c r="J7" s="47">
        <v>0</v>
      </c>
      <c r="K7" s="52"/>
      <c r="L7" s="51"/>
      <c r="M7" s="47"/>
      <c r="N7" s="52"/>
      <c r="O7" s="51"/>
      <c r="P7" s="47"/>
      <c r="Q7" s="52"/>
      <c r="R7" s="52">
        <v>0.1</v>
      </c>
      <c r="S7" s="35">
        <v>0</v>
      </c>
      <c r="T7" s="106">
        <v>0.21</v>
      </c>
    </row>
    <row r="8" spans="2:20" s="3" customFormat="1" ht="18" customHeight="1">
      <c r="B8" s="447"/>
      <c r="C8" s="9" t="s">
        <v>37</v>
      </c>
      <c r="D8" s="443"/>
      <c r="E8" s="28">
        <v>0.8</v>
      </c>
      <c r="F8" s="53">
        <v>0</v>
      </c>
      <c r="G8" s="43">
        <v>0</v>
      </c>
      <c r="H8" s="54">
        <v>0</v>
      </c>
      <c r="I8" s="53">
        <v>0.35</v>
      </c>
      <c r="J8" s="43">
        <v>0</v>
      </c>
      <c r="K8" s="54"/>
      <c r="L8" s="53"/>
      <c r="M8" s="43"/>
      <c r="N8" s="54"/>
      <c r="O8" s="53"/>
      <c r="P8" s="43"/>
      <c r="Q8" s="54"/>
      <c r="R8" s="54">
        <v>7.0000000000000007E-2</v>
      </c>
      <c r="S8" s="36">
        <v>0.39</v>
      </c>
      <c r="T8" s="107">
        <v>0.46</v>
      </c>
    </row>
    <row r="9" spans="2:20" s="3" customFormat="1" ht="18" customHeight="1">
      <c r="B9" s="447"/>
      <c r="C9" s="7" t="s">
        <v>38</v>
      </c>
      <c r="D9" s="434" t="s">
        <v>39</v>
      </c>
      <c r="E9" s="26">
        <v>0.3</v>
      </c>
      <c r="F9" s="49" t="s">
        <v>30</v>
      </c>
      <c r="G9" s="41" t="s">
        <v>30</v>
      </c>
      <c r="H9" s="50" t="s">
        <v>30</v>
      </c>
      <c r="I9" s="49" t="s">
        <v>30</v>
      </c>
      <c r="J9" s="41" t="s">
        <v>30</v>
      </c>
      <c r="K9" s="50"/>
      <c r="L9" s="49"/>
      <c r="M9" s="41"/>
      <c r="N9" s="52"/>
      <c r="O9" s="44"/>
      <c r="P9" s="41"/>
      <c r="Q9" s="50"/>
      <c r="R9" s="50" t="s">
        <v>30</v>
      </c>
      <c r="S9" s="34">
        <v>9.5666666666666664E-2</v>
      </c>
      <c r="T9" s="105">
        <v>0.16263333333333332</v>
      </c>
    </row>
    <row r="10" spans="2:20" s="3" customFormat="1" ht="18" customHeight="1">
      <c r="B10" s="448"/>
      <c r="C10" s="97" t="s">
        <v>40</v>
      </c>
      <c r="D10" s="450"/>
      <c r="E10" s="108">
        <v>0.45</v>
      </c>
      <c r="F10" s="109" t="s">
        <v>30</v>
      </c>
      <c r="G10" s="110" t="s">
        <v>30</v>
      </c>
      <c r="H10" s="111" t="s">
        <v>30</v>
      </c>
      <c r="I10" s="109" t="s">
        <v>30</v>
      </c>
      <c r="J10" s="110" t="s">
        <v>30</v>
      </c>
      <c r="K10" s="111"/>
      <c r="L10" s="109"/>
      <c r="M10" s="110"/>
      <c r="N10" s="111"/>
      <c r="O10" s="112"/>
      <c r="P10" s="110"/>
      <c r="Q10" s="111"/>
      <c r="R10" s="111" t="s">
        <v>30</v>
      </c>
      <c r="S10" s="113" t="s">
        <v>30</v>
      </c>
      <c r="T10" s="114" t="s">
        <v>30</v>
      </c>
    </row>
    <row r="11" spans="2:20" s="3" customFormat="1" ht="18" customHeight="1">
      <c r="B11" s="431" t="s">
        <v>44</v>
      </c>
      <c r="C11" s="7" t="s">
        <v>45</v>
      </c>
      <c r="D11" s="434" t="s">
        <v>65</v>
      </c>
      <c r="E11" s="26">
        <v>0.8</v>
      </c>
      <c r="F11" s="49" t="s">
        <v>30</v>
      </c>
      <c r="G11" s="49" t="s">
        <v>30</v>
      </c>
      <c r="H11" s="49" t="s">
        <v>30</v>
      </c>
      <c r="I11" s="49" t="s">
        <v>30</v>
      </c>
      <c r="J11" s="49" t="s">
        <v>30</v>
      </c>
      <c r="K11" s="49" t="s">
        <v>30</v>
      </c>
      <c r="L11" s="49" t="s">
        <v>30</v>
      </c>
      <c r="M11" s="49" t="s">
        <v>30</v>
      </c>
      <c r="N11" s="49" t="s">
        <v>30</v>
      </c>
      <c r="O11" s="49" t="s">
        <v>30</v>
      </c>
      <c r="P11" s="49" t="s">
        <v>30</v>
      </c>
      <c r="Q11" s="49" t="s">
        <v>30</v>
      </c>
      <c r="R11" s="49" t="s">
        <v>30</v>
      </c>
      <c r="S11" s="34"/>
      <c r="T11" s="34">
        <v>0.46</v>
      </c>
    </row>
    <row r="12" spans="2:20" s="3" customFormat="1" ht="18" customHeight="1">
      <c r="B12" s="431"/>
      <c r="C12" s="7" t="s">
        <v>53</v>
      </c>
      <c r="D12" s="434"/>
      <c r="E12" s="26">
        <v>0.7</v>
      </c>
      <c r="F12" s="49" t="s">
        <v>30</v>
      </c>
      <c r="G12" s="49" t="s">
        <v>30</v>
      </c>
      <c r="H12" s="49" t="s">
        <v>30</v>
      </c>
      <c r="I12" s="49" t="s">
        <v>30</v>
      </c>
      <c r="J12" s="49" t="s">
        <v>30</v>
      </c>
      <c r="K12" s="49" t="s">
        <v>30</v>
      </c>
      <c r="L12" s="49" t="s">
        <v>30</v>
      </c>
      <c r="M12" s="49" t="s">
        <v>30</v>
      </c>
      <c r="N12" s="49" t="s">
        <v>30</v>
      </c>
      <c r="O12" s="49" t="s">
        <v>30</v>
      </c>
      <c r="P12" s="49" t="s">
        <v>30</v>
      </c>
      <c r="Q12" s="49" t="s">
        <v>30</v>
      </c>
      <c r="R12" s="49" t="s">
        <v>30</v>
      </c>
      <c r="S12" s="34"/>
      <c r="T12" s="34">
        <v>1</v>
      </c>
    </row>
    <row r="13" spans="2:20" s="3" customFormat="1" ht="18" customHeight="1">
      <c r="B13" s="432"/>
      <c r="C13" s="1" t="s">
        <v>54</v>
      </c>
      <c r="D13" s="435"/>
      <c r="E13" s="29" t="s">
        <v>70</v>
      </c>
      <c r="F13" s="49" t="s">
        <v>30</v>
      </c>
      <c r="G13" s="49" t="s">
        <v>30</v>
      </c>
      <c r="H13" s="49" t="s">
        <v>30</v>
      </c>
      <c r="I13" s="49" t="s">
        <v>30</v>
      </c>
      <c r="J13" s="49" t="s">
        <v>30</v>
      </c>
      <c r="K13" s="49" t="s">
        <v>30</v>
      </c>
      <c r="L13" s="49" t="s">
        <v>30</v>
      </c>
      <c r="M13" s="49" t="s">
        <v>30</v>
      </c>
      <c r="N13" s="49" t="s">
        <v>30</v>
      </c>
      <c r="O13" s="49" t="s">
        <v>30</v>
      </c>
      <c r="P13" s="49" t="s">
        <v>30</v>
      </c>
      <c r="Q13" s="49" t="s">
        <v>30</v>
      </c>
      <c r="R13" s="49" t="s">
        <v>30</v>
      </c>
      <c r="S13" s="92"/>
      <c r="T13" s="39" t="s">
        <v>30</v>
      </c>
    </row>
    <row r="15" spans="2:20">
      <c r="C15" s="20"/>
    </row>
    <row r="16" spans="2:20">
      <c r="F16" s="91"/>
    </row>
    <row r="17" spans="4:11">
      <c r="F17" s="89"/>
      <c r="G17" s="89"/>
      <c r="H17" s="89"/>
      <c r="J17" s="91"/>
      <c r="K17" s="91"/>
    </row>
    <row r="18" spans="4:11">
      <c r="F18" s="89"/>
      <c r="G18" s="89"/>
      <c r="H18" s="89"/>
    </row>
    <row r="21" spans="4:11">
      <c r="G21" s="91"/>
    </row>
    <row r="23" spans="4:11">
      <c r="D23" s="18"/>
    </row>
    <row r="24" spans="4:11">
      <c r="D24" s="18"/>
      <c r="F24" s="94"/>
    </row>
    <row r="25" spans="4:11">
      <c r="D25" s="90"/>
    </row>
  </sheetData>
  <mergeCells count="7">
    <mergeCell ref="B11:B13"/>
    <mergeCell ref="D11:D13"/>
    <mergeCell ref="B2:T2"/>
    <mergeCell ref="B5:B10"/>
    <mergeCell ref="D5:D6"/>
    <mergeCell ref="D7:D8"/>
    <mergeCell ref="D9:D10"/>
  </mergeCells>
  <conditionalFormatting sqref="F4:R4">
    <cfRule type="cellIs" dxfId="16" priority="23" operator="notBetween">
      <formula>0.22</formula>
      <formula>0.32</formula>
    </cfRule>
    <cfRule type="cellIs" dxfId="15" priority="24" operator="between">
      <formula>0.22</formula>
      <formula>0.32</formula>
    </cfRule>
  </conditionalFormatting>
  <conditionalFormatting sqref="F4:R13">
    <cfRule type="containsBlanks" dxfId="14" priority="3" stopIfTrue="1">
      <formula>LEN(TRIM(F4))=0</formula>
    </cfRule>
    <cfRule type="containsText" dxfId="13" priority="4" stopIfTrue="1" operator="containsText" text="NA">
      <formula>NOT(ISERROR(SEARCH("NA",F4)))</formula>
    </cfRule>
    <cfRule type="cellIs" dxfId="12" priority="5" stopIfTrue="1" operator="equal">
      <formula>"NA"</formula>
    </cfRule>
  </conditionalFormatting>
  <conditionalFormatting sqref="F5:R8">
    <cfRule type="cellIs" dxfId="11" priority="21" stopIfTrue="1" operator="lessThan">
      <formula>0.8</formula>
    </cfRule>
    <cfRule type="cellIs" dxfId="10" priority="22" stopIfTrue="1" operator="greaterThanOrEqual">
      <formula>0.8</formula>
    </cfRule>
  </conditionalFormatting>
  <conditionalFormatting sqref="F9:R9">
    <cfRule type="cellIs" dxfId="9" priority="15" operator="greaterThanOrEqual">
      <formula>0.3</formula>
    </cfRule>
    <cfRule type="cellIs" dxfId="8" priority="16" stopIfTrue="1" operator="lessThan">
      <formula>0.3</formula>
    </cfRule>
  </conditionalFormatting>
  <conditionalFormatting sqref="F10:R10">
    <cfRule type="cellIs" dxfId="7" priority="33" stopIfTrue="1" operator="lessThan">
      <formula>0.45</formula>
    </cfRule>
    <cfRule type="cellIs" dxfId="6" priority="34" operator="greaterThanOrEqual">
      <formula>0.45</formula>
    </cfRule>
  </conditionalFormatting>
  <conditionalFormatting sqref="F11:R12">
    <cfRule type="cellIs" dxfId="5" priority="6" operator="lessThan">
      <formula>0.8</formula>
    </cfRule>
    <cfRule type="cellIs" dxfId="4" priority="7" operator="greaterThanOrEqual">
      <formula>0.8</formula>
    </cfRule>
  </conditionalFormatting>
  <conditionalFormatting sqref="F13:R13">
    <cfRule type="cellIs" dxfId="3" priority="1" operator="lessThan">
      <formula>0.8</formula>
    </cfRule>
    <cfRule type="cellIs" dxfId="2" priority="2" operator="greaterThanOrEqual">
      <formula>0.8</formula>
    </cfRule>
    <cfRule type="cellIs" dxfId="1" priority="8" stopIfTrue="1" operator="greaterThan">
      <formula>0.05</formula>
    </cfRule>
    <cfRule type="cellIs" dxfId="0" priority="9" stopIfTrue="1" operator="lessThanOrEqual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924E-C3B7-4F4C-A1ED-5A2C5286A0CF}">
  <sheetPr>
    <tabColor theme="8"/>
  </sheetPr>
  <dimension ref="B2:AT50"/>
  <sheetViews>
    <sheetView topLeftCell="D1" workbookViewId="0">
      <selection activeCell="T21" sqref="T21"/>
    </sheetView>
  </sheetViews>
  <sheetFormatPr baseColWidth="10" defaultRowHeight="15"/>
  <cols>
    <col min="3" max="3" width="13.6640625" customWidth="1"/>
    <col min="5" max="5" width="14.33203125" bestFit="1" customWidth="1"/>
    <col min="6" max="6" width="20.33203125" bestFit="1" customWidth="1"/>
    <col min="7" max="7" width="20.6640625" bestFit="1" customWidth="1"/>
    <col min="8" max="8" width="22" bestFit="1" customWidth="1"/>
    <col min="9" max="9" width="1" customWidth="1"/>
    <col min="10" max="10" width="0.1640625" customWidth="1"/>
    <col min="12" max="12" width="8.6640625" customWidth="1"/>
    <col min="13" max="13" width="13" customWidth="1"/>
    <col min="14" max="14" width="22.5" customWidth="1"/>
    <col min="15" max="15" width="13.1640625" bestFit="1" customWidth="1"/>
    <col min="16" max="16" width="14.5" bestFit="1" customWidth="1"/>
    <col min="19" max="19" width="12.33203125" customWidth="1"/>
    <col min="20" max="20" width="13.1640625" customWidth="1"/>
    <col min="29" max="29" width="11.1640625" bestFit="1" customWidth="1"/>
    <col min="30" max="30" width="12" bestFit="1" customWidth="1"/>
    <col min="33" max="33" width="14" customWidth="1"/>
  </cols>
  <sheetData>
    <row r="2" spans="2:46" ht="16" thickBot="1">
      <c r="B2" s="454" t="s">
        <v>91</v>
      </c>
      <c r="C2" s="455"/>
      <c r="D2" s="455"/>
      <c r="E2" s="455"/>
      <c r="F2" s="455"/>
      <c r="G2" s="455"/>
      <c r="H2" s="456"/>
      <c r="I2" s="334"/>
      <c r="J2" s="334"/>
      <c r="L2" s="451" t="s">
        <v>92</v>
      </c>
      <c r="M2" s="451"/>
      <c r="N2" s="451"/>
      <c r="O2" s="451"/>
      <c r="P2" s="451"/>
      <c r="R2" s="452" t="s">
        <v>96</v>
      </c>
      <c r="S2" s="452"/>
      <c r="T2" s="452"/>
      <c r="U2" s="452"/>
      <c r="W2" s="453" t="s">
        <v>41</v>
      </c>
      <c r="X2" s="453"/>
      <c r="Y2" s="453"/>
      <c r="Z2" s="453"/>
      <c r="AA2" s="453"/>
      <c r="AB2" s="453"/>
      <c r="AC2" s="453"/>
      <c r="AD2" s="453"/>
      <c r="AE2" s="453"/>
      <c r="AG2" s="332" t="s">
        <v>173</v>
      </c>
      <c r="AH2" s="332"/>
      <c r="AI2" s="332"/>
      <c r="AJ2" s="332"/>
      <c r="AK2" s="332"/>
      <c r="AL2" s="332"/>
      <c r="AM2" s="332"/>
      <c r="AN2" s="332"/>
      <c r="AO2" s="332"/>
      <c r="AP2" s="332"/>
      <c r="AQ2" s="332"/>
      <c r="AR2" s="332"/>
      <c r="AS2" s="332"/>
    </row>
    <row r="3" spans="2:46" ht="16" thickBot="1">
      <c r="B3" s="335" t="s">
        <v>84</v>
      </c>
      <c r="C3" s="335" t="s">
        <v>85</v>
      </c>
      <c r="D3" s="335" t="s">
        <v>86</v>
      </c>
      <c r="E3" s="335" t="s">
        <v>87</v>
      </c>
      <c r="F3" s="335" t="s">
        <v>88</v>
      </c>
      <c r="G3" s="335" t="s">
        <v>89</v>
      </c>
      <c r="H3" s="335" t="s">
        <v>90</v>
      </c>
      <c r="L3" s="336" t="s">
        <v>93</v>
      </c>
      <c r="M3" s="336" t="s">
        <v>85</v>
      </c>
      <c r="N3" s="336" t="s">
        <v>84</v>
      </c>
      <c r="O3" s="336" t="s">
        <v>94</v>
      </c>
      <c r="P3" s="336" t="s">
        <v>95</v>
      </c>
      <c r="R3" s="337" t="s">
        <v>86</v>
      </c>
      <c r="S3" s="337" t="s">
        <v>84</v>
      </c>
      <c r="T3" s="337" t="s">
        <v>106</v>
      </c>
      <c r="U3" s="337" t="s">
        <v>96</v>
      </c>
      <c r="W3" s="332" t="s">
        <v>108</v>
      </c>
      <c r="X3" s="332" t="s">
        <v>85</v>
      </c>
      <c r="Y3" s="332" t="s">
        <v>109</v>
      </c>
      <c r="Z3" s="332" t="s">
        <v>110</v>
      </c>
      <c r="AA3" s="332" t="s">
        <v>111</v>
      </c>
      <c r="AB3" s="332" t="s">
        <v>118</v>
      </c>
      <c r="AC3" s="332" t="s">
        <v>119</v>
      </c>
      <c r="AD3" s="332" t="s">
        <v>120</v>
      </c>
      <c r="AE3" s="332" t="s">
        <v>121</v>
      </c>
      <c r="AG3" s="371" t="s">
        <v>122</v>
      </c>
      <c r="AH3" s="372" t="s">
        <v>3</v>
      </c>
      <c r="AI3" s="373" t="s">
        <v>123</v>
      </c>
      <c r="AJ3" s="373" t="s">
        <v>124</v>
      </c>
      <c r="AK3" s="373" t="s">
        <v>125</v>
      </c>
      <c r="AL3" s="373" t="s">
        <v>126</v>
      </c>
      <c r="AM3" s="373" t="s">
        <v>127</v>
      </c>
      <c r="AN3" s="373" t="s">
        <v>128</v>
      </c>
      <c r="AO3" s="373" t="s">
        <v>129</v>
      </c>
      <c r="AP3" s="373" t="s">
        <v>130</v>
      </c>
      <c r="AQ3" s="373" t="s">
        <v>131</v>
      </c>
      <c r="AR3" s="373" t="s">
        <v>132</v>
      </c>
      <c r="AS3" s="373" t="s">
        <v>133</v>
      </c>
      <c r="AT3" s="373" t="s">
        <v>134</v>
      </c>
    </row>
    <row r="4" spans="2:46">
      <c r="B4" s="332" t="s">
        <v>98</v>
      </c>
      <c r="C4" s="332" t="s">
        <v>74</v>
      </c>
      <c r="D4" s="332">
        <v>1</v>
      </c>
      <c r="E4" s="333">
        <v>258388.38</v>
      </c>
      <c r="F4" s="333">
        <v>73843.42</v>
      </c>
      <c r="G4" s="333">
        <v>219998.06</v>
      </c>
      <c r="H4" s="333">
        <v>53303.72</v>
      </c>
      <c r="I4" s="334"/>
      <c r="J4" s="334"/>
      <c r="L4" s="332">
        <v>1</v>
      </c>
      <c r="M4" s="332" t="s">
        <v>99</v>
      </c>
      <c r="N4" s="332" t="s">
        <v>14</v>
      </c>
      <c r="O4" s="332">
        <v>115693278</v>
      </c>
      <c r="P4" s="332">
        <v>540356132</v>
      </c>
      <c r="R4">
        <v>1</v>
      </c>
      <c r="S4" t="s">
        <v>73</v>
      </c>
      <c r="T4" t="s">
        <v>73</v>
      </c>
      <c r="U4" s="366">
        <v>1</v>
      </c>
      <c r="W4" s="332">
        <v>1</v>
      </c>
      <c r="X4" s="332" t="s">
        <v>112</v>
      </c>
      <c r="Y4" s="332" t="s">
        <v>115</v>
      </c>
      <c r="Z4" s="332"/>
      <c r="AA4" s="332"/>
      <c r="AB4" s="332">
        <v>0</v>
      </c>
      <c r="AC4" s="332">
        <v>0</v>
      </c>
      <c r="AD4" s="332">
        <v>0</v>
      </c>
      <c r="AE4" s="332">
        <v>0</v>
      </c>
      <c r="AG4" s="374" t="s">
        <v>18</v>
      </c>
      <c r="AH4" s="375" t="str">
        <f t="shared" ref="AH4:AH11" si="0">IFERROR(AVERAGE(AI4:AT4),"NA")</f>
        <v>NA</v>
      </c>
      <c r="AI4" s="376"/>
      <c r="AJ4" s="376"/>
      <c r="AK4" s="376"/>
      <c r="AL4" s="376"/>
      <c r="AM4" s="376"/>
      <c r="AN4" s="376"/>
      <c r="AO4" s="376"/>
      <c r="AP4" s="376"/>
      <c r="AQ4" s="376"/>
      <c r="AR4" s="376"/>
      <c r="AS4" s="376"/>
      <c r="AT4" s="376"/>
    </row>
    <row r="5" spans="2:46">
      <c r="B5" s="332" t="s">
        <v>12</v>
      </c>
      <c r="C5" s="332" t="s">
        <v>99</v>
      </c>
      <c r="D5" s="332">
        <v>1</v>
      </c>
      <c r="E5" s="333">
        <v>1973794.06</v>
      </c>
      <c r="F5" s="333">
        <v>1973794.06</v>
      </c>
      <c r="G5" s="333">
        <v>1692962.73</v>
      </c>
      <c r="H5" s="333">
        <v>1692962.73</v>
      </c>
      <c r="I5" s="334"/>
      <c r="J5" s="334"/>
      <c r="L5" s="332">
        <v>1</v>
      </c>
      <c r="M5" s="332" t="s">
        <v>74</v>
      </c>
      <c r="N5" s="332" t="s">
        <v>101</v>
      </c>
      <c r="O5" s="332">
        <v>46805868</v>
      </c>
      <c r="P5" s="332">
        <v>178435927</v>
      </c>
      <c r="R5">
        <v>1</v>
      </c>
      <c r="S5" t="s">
        <v>12</v>
      </c>
      <c r="T5" t="s">
        <v>73</v>
      </c>
      <c r="U5" s="366">
        <v>1</v>
      </c>
      <c r="W5" s="332">
        <v>1</v>
      </c>
      <c r="X5" s="332" t="s">
        <v>112</v>
      </c>
      <c r="Y5" s="332" t="s">
        <v>116</v>
      </c>
      <c r="Z5" s="332">
        <v>19.379039760000001</v>
      </c>
      <c r="AA5" s="332"/>
      <c r="AB5" s="332">
        <v>0</v>
      </c>
      <c r="AC5" s="332">
        <v>0</v>
      </c>
      <c r="AD5" s="332">
        <v>1397</v>
      </c>
      <c r="AE5" s="332">
        <v>27072.518540000001</v>
      </c>
      <c r="AG5" s="374" t="s">
        <v>12</v>
      </c>
      <c r="AH5" s="375">
        <f t="shared" si="0"/>
        <v>0.27700000000000002</v>
      </c>
      <c r="AI5" s="377">
        <v>0.27700000000000002</v>
      </c>
      <c r="AJ5" s="376"/>
      <c r="AK5" s="376"/>
      <c r="AL5" s="376"/>
      <c r="AM5" s="376"/>
      <c r="AN5" s="376"/>
      <c r="AO5" s="376"/>
      <c r="AP5" s="376"/>
      <c r="AQ5" s="376"/>
      <c r="AR5" s="376"/>
      <c r="AS5" s="376"/>
      <c r="AT5" s="376"/>
    </row>
    <row r="6" spans="2:46">
      <c r="B6" s="332" t="s">
        <v>97</v>
      </c>
      <c r="C6" s="332" t="s">
        <v>74</v>
      </c>
      <c r="D6" s="332">
        <v>1</v>
      </c>
      <c r="E6" s="333">
        <v>652168.25</v>
      </c>
      <c r="F6" s="333">
        <v>276121.42</v>
      </c>
      <c r="G6" s="333">
        <v>594622.59</v>
      </c>
      <c r="H6" s="333">
        <v>239676.27</v>
      </c>
      <c r="I6" s="334"/>
      <c r="J6" s="334"/>
      <c r="L6" s="332">
        <v>1</v>
      </c>
      <c r="M6" s="332" t="s">
        <v>99</v>
      </c>
      <c r="N6" s="332" t="s">
        <v>12</v>
      </c>
      <c r="O6" s="332">
        <v>102474520</v>
      </c>
      <c r="P6" s="332">
        <v>461553834</v>
      </c>
      <c r="R6">
        <v>1</v>
      </c>
      <c r="S6" t="s">
        <v>14</v>
      </c>
      <c r="T6" t="s">
        <v>73</v>
      </c>
      <c r="U6" s="366">
        <v>1</v>
      </c>
      <c r="W6" s="332">
        <v>1</v>
      </c>
      <c r="X6" s="332" t="s">
        <v>112</v>
      </c>
      <c r="Y6" s="332" t="s">
        <v>104</v>
      </c>
      <c r="Z6" s="332"/>
      <c r="AA6" s="332"/>
      <c r="AB6" s="332">
        <v>0</v>
      </c>
      <c r="AC6" s="332">
        <v>0</v>
      </c>
      <c r="AD6" s="332">
        <v>0</v>
      </c>
      <c r="AE6" s="332">
        <v>0</v>
      </c>
      <c r="AG6" s="374" t="s">
        <v>97</v>
      </c>
      <c r="AH6" s="375" t="str">
        <f t="shared" si="0"/>
        <v>NA</v>
      </c>
      <c r="AI6" s="376"/>
      <c r="AJ6" s="376"/>
      <c r="AK6" s="376"/>
      <c r="AL6" s="376"/>
      <c r="AM6" s="376"/>
      <c r="AN6" s="376"/>
      <c r="AO6" s="376"/>
      <c r="AP6" s="376"/>
      <c r="AQ6" s="376"/>
      <c r="AR6" s="376"/>
      <c r="AS6" s="376"/>
      <c r="AT6" s="376"/>
    </row>
    <row r="7" spans="2:46">
      <c r="B7" s="332" t="s">
        <v>13</v>
      </c>
      <c r="C7" s="332" t="s">
        <v>99</v>
      </c>
      <c r="D7" s="332">
        <v>1</v>
      </c>
      <c r="E7" s="333">
        <v>1981020.52</v>
      </c>
      <c r="F7" s="333">
        <v>1981020.52</v>
      </c>
      <c r="G7" s="333">
        <v>1791768.26</v>
      </c>
      <c r="H7" s="333">
        <v>1791768.26</v>
      </c>
      <c r="I7" s="334"/>
      <c r="J7" s="334"/>
      <c r="L7" s="332">
        <v>1</v>
      </c>
      <c r="M7" s="332" t="s">
        <v>74</v>
      </c>
      <c r="N7" s="332" t="s">
        <v>100</v>
      </c>
      <c r="O7" s="332">
        <v>66792977</v>
      </c>
      <c r="P7" s="332">
        <v>286576668</v>
      </c>
      <c r="R7">
        <v>1</v>
      </c>
      <c r="S7" t="s">
        <v>107</v>
      </c>
      <c r="T7" t="s">
        <v>73</v>
      </c>
      <c r="U7" s="366">
        <v>1</v>
      </c>
      <c r="W7" s="332">
        <v>1</v>
      </c>
      <c r="X7" s="332" t="s">
        <v>99</v>
      </c>
      <c r="Y7" s="332" t="s">
        <v>17</v>
      </c>
      <c r="Z7" s="332">
        <v>0</v>
      </c>
      <c r="AA7" s="332">
        <v>0</v>
      </c>
      <c r="AB7" s="332">
        <v>550</v>
      </c>
      <c r="AC7" s="332">
        <v>0</v>
      </c>
      <c r="AD7" s="332">
        <v>6</v>
      </c>
      <c r="AE7" s="332">
        <v>0</v>
      </c>
      <c r="AG7" s="374" t="s">
        <v>13</v>
      </c>
      <c r="AH7" s="375">
        <f t="shared" si="0"/>
        <v>0.27700000000000002</v>
      </c>
      <c r="AI7" s="377">
        <v>0.27700000000000002</v>
      </c>
      <c r="AJ7" s="376"/>
      <c r="AK7" s="376"/>
      <c r="AL7" s="376"/>
      <c r="AM7" s="376"/>
      <c r="AN7" s="376"/>
      <c r="AO7" s="376"/>
      <c r="AP7" s="376"/>
      <c r="AQ7" s="376"/>
      <c r="AR7" s="376"/>
      <c r="AS7" s="376"/>
      <c r="AT7" s="376"/>
    </row>
    <row r="8" spans="2:46">
      <c r="B8" s="332" t="s">
        <v>102</v>
      </c>
      <c r="C8" s="332" t="s">
        <v>99</v>
      </c>
      <c r="D8" s="332">
        <v>1</v>
      </c>
      <c r="E8" s="333">
        <v>100412.73</v>
      </c>
      <c r="F8" s="333">
        <v>100412.73</v>
      </c>
      <c r="G8" s="333">
        <v>87542.92</v>
      </c>
      <c r="H8" s="333">
        <v>87542.92</v>
      </c>
      <c r="I8" s="334"/>
      <c r="J8" s="334"/>
      <c r="L8" s="332">
        <v>1</v>
      </c>
      <c r="M8" s="332" t="s">
        <v>99</v>
      </c>
      <c r="N8" s="332" t="s">
        <v>17</v>
      </c>
      <c r="O8" s="332">
        <v>73685962</v>
      </c>
      <c r="P8" s="332">
        <v>263227258</v>
      </c>
      <c r="R8">
        <v>1</v>
      </c>
      <c r="S8" t="s">
        <v>15</v>
      </c>
      <c r="T8" t="s">
        <v>73</v>
      </c>
      <c r="U8" s="366">
        <v>1</v>
      </c>
      <c r="W8" s="332">
        <v>1</v>
      </c>
      <c r="X8" s="332" t="s">
        <v>74</v>
      </c>
      <c r="Y8" s="332" t="s">
        <v>113</v>
      </c>
      <c r="Z8" s="332">
        <v>24.193663730000001</v>
      </c>
      <c r="AA8" s="332">
        <v>3.1270987570000002</v>
      </c>
      <c r="AB8" s="332">
        <v>99112</v>
      </c>
      <c r="AC8" s="332">
        <v>309933.01199999999</v>
      </c>
      <c r="AD8" s="332">
        <v>7540</v>
      </c>
      <c r="AE8" s="332">
        <v>182420.22450000001</v>
      </c>
      <c r="AG8" s="374" t="s">
        <v>14</v>
      </c>
      <c r="AH8" s="375">
        <f t="shared" si="0"/>
        <v>0.26600000000000001</v>
      </c>
      <c r="AI8" s="377">
        <v>0.26600000000000001</v>
      </c>
      <c r="AJ8" s="376"/>
      <c r="AK8" s="376"/>
      <c r="AL8" s="376"/>
      <c r="AM8" s="376"/>
      <c r="AN8" s="376"/>
      <c r="AO8" s="376"/>
      <c r="AP8" s="376"/>
      <c r="AQ8" s="376"/>
      <c r="AR8" s="376"/>
      <c r="AS8" s="376"/>
      <c r="AT8" s="376"/>
    </row>
    <row r="9" spans="2:46">
      <c r="B9" s="332" t="s">
        <v>14</v>
      </c>
      <c r="C9" s="332" t="s">
        <v>99</v>
      </c>
      <c r="D9" s="332">
        <v>1</v>
      </c>
      <c r="E9" s="333">
        <v>1576656.52</v>
      </c>
      <c r="F9" s="333">
        <v>1576656.52</v>
      </c>
      <c r="G9" s="333">
        <v>1402228.94</v>
      </c>
      <c r="H9" s="333">
        <v>1402228.94</v>
      </c>
      <c r="I9" s="334"/>
      <c r="J9" s="334"/>
      <c r="L9" s="332">
        <v>1</v>
      </c>
      <c r="M9" s="332" t="s">
        <v>99</v>
      </c>
      <c r="N9" s="332" t="s">
        <v>13</v>
      </c>
      <c r="O9" s="332">
        <v>128719234</v>
      </c>
      <c r="P9" s="332">
        <v>535490941</v>
      </c>
      <c r="R9">
        <v>1</v>
      </c>
      <c r="S9" t="s">
        <v>16</v>
      </c>
      <c r="T9" t="s">
        <v>73</v>
      </c>
      <c r="U9" s="366">
        <v>1</v>
      </c>
      <c r="W9" s="332">
        <v>1</v>
      </c>
      <c r="X9" s="332" t="s">
        <v>99</v>
      </c>
      <c r="Y9" s="332" t="s">
        <v>15</v>
      </c>
      <c r="Z9" s="332">
        <v>25.69183057</v>
      </c>
      <c r="AA9" s="332">
        <v>5.8874250290000001</v>
      </c>
      <c r="AB9" s="332">
        <v>14439</v>
      </c>
      <c r="AC9" s="332">
        <v>85008.53</v>
      </c>
      <c r="AD9" s="332">
        <v>1891</v>
      </c>
      <c r="AE9" s="332">
        <v>48583.251600000003</v>
      </c>
      <c r="AG9" s="374" t="s">
        <v>175</v>
      </c>
      <c r="AH9" s="375" t="str">
        <f t="shared" si="0"/>
        <v>NA</v>
      </c>
      <c r="AI9" s="376"/>
      <c r="AJ9" s="376"/>
      <c r="AK9" s="376"/>
      <c r="AL9" s="376"/>
      <c r="AM9" s="376"/>
      <c r="AN9" s="376"/>
      <c r="AO9" s="376"/>
      <c r="AP9" s="376"/>
      <c r="AQ9" s="376"/>
      <c r="AR9" s="376"/>
      <c r="AS9" s="376"/>
      <c r="AT9" s="376"/>
    </row>
    <row r="10" spans="2:46">
      <c r="B10" s="332" t="s">
        <v>100</v>
      </c>
      <c r="C10" s="332" t="s">
        <v>74</v>
      </c>
      <c r="D10" s="332">
        <v>1</v>
      </c>
      <c r="E10" s="333">
        <v>958403.72</v>
      </c>
      <c r="F10" s="333">
        <v>958403.72</v>
      </c>
      <c r="G10" s="333">
        <v>910081.2</v>
      </c>
      <c r="H10" s="333">
        <v>910081.2</v>
      </c>
      <c r="I10" s="334"/>
      <c r="J10" s="334"/>
      <c r="L10" s="332">
        <v>1</v>
      </c>
      <c r="M10" s="332" t="s">
        <v>99</v>
      </c>
      <c r="N10" s="332" t="s">
        <v>15</v>
      </c>
      <c r="O10" s="332">
        <v>75614659</v>
      </c>
      <c r="P10" s="332">
        <v>471208090</v>
      </c>
      <c r="R10">
        <v>1</v>
      </c>
      <c r="S10" t="s">
        <v>74</v>
      </c>
      <c r="T10" t="s">
        <v>74</v>
      </c>
      <c r="U10" s="366">
        <v>1</v>
      </c>
      <c r="W10" s="332">
        <v>1</v>
      </c>
      <c r="X10" s="332" t="s">
        <v>74</v>
      </c>
      <c r="Y10" s="332" t="s">
        <v>20</v>
      </c>
      <c r="Z10" s="332"/>
      <c r="AA10" s="332"/>
      <c r="AB10" s="332">
        <v>0</v>
      </c>
      <c r="AC10" s="332">
        <v>0</v>
      </c>
      <c r="AD10" s="332">
        <v>0</v>
      </c>
      <c r="AE10" s="332">
        <v>0</v>
      </c>
      <c r="AG10" s="374" t="s">
        <v>19</v>
      </c>
      <c r="AH10" s="375" t="str">
        <f t="shared" si="0"/>
        <v>NA</v>
      </c>
      <c r="AI10" s="376"/>
      <c r="AJ10" s="376"/>
      <c r="AK10" s="376"/>
      <c r="AL10" s="376"/>
      <c r="AM10" s="376"/>
      <c r="AN10" s="376"/>
      <c r="AO10" s="376"/>
      <c r="AP10" s="376"/>
      <c r="AQ10" s="376"/>
      <c r="AR10" s="376"/>
      <c r="AS10" s="376"/>
      <c r="AT10" s="376"/>
    </row>
    <row r="11" spans="2:46">
      <c r="B11" s="332" t="s">
        <v>17</v>
      </c>
      <c r="C11" s="332" t="s">
        <v>99</v>
      </c>
      <c r="D11" s="332">
        <v>1</v>
      </c>
      <c r="E11" s="333">
        <v>3277458.25</v>
      </c>
      <c r="F11" s="333">
        <v>2538609.75</v>
      </c>
      <c r="G11" s="333">
        <v>2179421.64</v>
      </c>
      <c r="H11" s="333">
        <v>1975129.83</v>
      </c>
      <c r="I11" s="334"/>
      <c r="J11" s="334"/>
      <c r="L11" s="332">
        <v>1</v>
      </c>
      <c r="M11" s="332" t="s">
        <v>99</v>
      </c>
      <c r="N11" s="332" t="s">
        <v>16</v>
      </c>
      <c r="O11" s="332">
        <v>68324448</v>
      </c>
      <c r="P11" s="332">
        <v>366528798</v>
      </c>
      <c r="R11">
        <v>1</v>
      </c>
      <c r="S11" t="s">
        <v>13</v>
      </c>
      <c r="T11" t="s">
        <v>73</v>
      </c>
      <c r="U11" s="366">
        <v>0</v>
      </c>
      <c r="W11" s="332">
        <v>1</v>
      </c>
      <c r="X11" s="332" t="s">
        <v>112</v>
      </c>
      <c r="Y11" s="332" t="s">
        <v>21</v>
      </c>
      <c r="Z11" s="332"/>
      <c r="AA11" s="332"/>
      <c r="AB11" s="332">
        <v>0</v>
      </c>
      <c r="AC11" s="332">
        <v>0</v>
      </c>
      <c r="AD11" s="332">
        <v>0</v>
      </c>
      <c r="AE11" s="332">
        <v>0</v>
      </c>
      <c r="AG11" s="374" t="s">
        <v>137</v>
      </c>
      <c r="AH11" s="375" t="str">
        <f t="shared" si="0"/>
        <v>NA</v>
      </c>
      <c r="AI11" s="376"/>
      <c r="AJ11" s="376"/>
      <c r="AK11" s="376"/>
      <c r="AL11" s="376"/>
      <c r="AM11" s="376"/>
      <c r="AN11" s="376"/>
      <c r="AO11" s="376"/>
      <c r="AP11" s="376"/>
      <c r="AQ11" s="376"/>
      <c r="AR11" s="376"/>
      <c r="AS11" s="376"/>
      <c r="AT11" s="376"/>
    </row>
    <row r="12" spans="2:46">
      <c r="B12" s="332" t="s">
        <v>101</v>
      </c>
      <c r="C12" s="332" t="s">
        <v>74</v>
      </c>
      <c r="D12" s="332">
        <v>1</v>
      </c>
      <c r="E12" s="333">
        <v>956792.45</v>
      </c>
      <c r="F12" s="333">
        <v>562383.66</v>
      </c>
      <c r="G12" s="333">
        <v>819976.47</v>
      </c>
      <c r="H12" s="333">
        <v>553694.43000000005</v>
      </c>
      <c r="I12" s="334"/>
      <c r="J12" s="334"/>
      <c r="L12" s="332">
        <v>1</v>
      </c>
      <c r="M12" s="332" t="s">
        <v>74</v>
      </c>
      <c r="N12" s="332" t="s">
        <v>23</v>
      </c>
      <c r="O12" s="332">
        <v>144264112</v>
      </c>
      <c r="P12" s="332">
        <v>354923757</v>
      </c>
      <c r="R12">
        <v>1</v>
      </c>
      <c r="S12" t="s">
        <v>17</v>
      </c>
      <c r="T12" t="s">
        <v>73</v>
      </c>
      <c r="U12" s="366">
        <v>0</v>
      </c>
      <c r="W12" s="332">
        <v>1</v>
      </c>
      <c r="X12" s="332" t="s">
        <v>112</v>
      </c>
      <c r="Y12" s="332" t="s">
        <v>114</v>
      </c>
      <c r="Z12" s="332"/>
      <c r="AA12" s="332"/>
      <c r="AB12" s="332">
        <v>0</v>
      </c>
      <c r="AC12" s="332">
        <v>0</v>
      </c>
      <c r="AD12" s="332">
        <v>0</v>
      </c>
      <c r="AE12" s="332">
        <v>0</v>
      </c>
      <c r="AG12" s="374" t="s">
        <v>138</v>
      </c>
      <c r="AH12" s="375" t="str">
        <f>IFERROR(AVERAGE(AI12:AT12),"NA")</f>
        <v>NA</v>
      </c>
      <c r="AI12" s="376"/>
      <c r="AJ12" s="376"/>
      <c r="AK12" s="376"/>
      <c r="AL12" s="376"/>
      <c r="AM12" s="376"/>
      <c r="AN12" s="376"/>
      <c r="AO12" s="376"/>
      <c r="AP12" s="376"/>
      <c r="AQ12" s="376"/>
      <c r="AR12" s="376"/>
      <c r="AS12" s="376"/>
      <c r="AT12" s="376"/>
    </row>
    <row r="13" spans="2:46">
      <c r="B13" s="332" t="s">
        <v>15</v>
      </c>
      <c r="C13" s="332" t="s">
        <v>99</v>
      </c>
      <c r="D13" s="332">
        <v>1</v>
      </c>
      <c r="E13" s="333">
        <v>1657141.85</v>
      </c>
      <c r="F13" s="333">
        <v>1477669.75</v>
      </c>
      <c r="G13" s="333">
        <v>1515539.56</v>
      </c>
      <c r="H13" s="333">
        <v>1336067.47</v>
      </c>
      <c r="I13" s="334"/>
      <c r="J13" s="334"/>
      <c r="L13" s="332">
        <v>1</v>
      </c>
      <c r="M13" s="332" t="s">
        <v>74</v>
      </c>
      <c r="N13" s="332" t="s">
        <v>98</v>
      </c>
      <c r="O13" s="332">
        <v>8610732</v>
      </c>
      <c r="P13" s="332">
        <v>26443866</v>
      </c>
      <c r="W13" s="332">
        <v>1</v>
      </c>
      <c r="X13" s="332" t="s">
        <v>74</v>
      </c>
      <c r="Y13" s="332" t="s">
        <v>97</v>
      </c>
      <c r="Z13" s="332">
        <v>452.76875000000001</v>
      </c>
      <c r="AA13" s="332"/>
      <c r="AB13" s="332">
        <v>0</v>
      </c>
      <c r="AC13" s="332">
        <v>0</v>
      </c>
      <c r="AD13" s="332">
        <v>56</v>
      </c>
      <c r="AE13" s="332">
        <v>25355.05</v>
      </c>
      <c r="AG13" s="374" t="s">
        <v>17</v>
      </c>
      <c r="AH13" s="375">
        <f t="shared" ref="AH13:AH19" si="1">IFERROR(AVERAGE(AI13:AT13),"NA")</f>
        <v>0.45500000000000002</v>
      </c>
      <c r="AI13" s="378">
        <v>0.45500000000000002</v>
      </c>
      <c r="AJ13" s="376"/>
      <c r="AK13" s="376"/>
      <c r="AL13" s="376"/>
      <c r="AM13" s="376"/>
      <c r="AN13" s="376"/>
      <c r="AO13" s="376"/>
      <c r="AP13" s="376"/>
      <c r="AQ13" s="376"/>
      <c r="AR13" s="376"/>
      <c r="AS13" s="376"/>
      <c r="AT13" s="376"/>
    </row>
    <row r="14" spans="2:46">
      <c r="B14" s="332" t="s">
        <v>16</v>
      </c>
      <c r="C14" s="332" t="s">
        <v>99</v>
      </c>
      <c r="D14" s="332">
        <v>1</v>
      </c>
      <c r="E14" s="333">
        <v>1526148.16</v>
      </c>
      <c r="F14" s="333">
        <v>1425828.37</v>
      </c>
      <c r="G14" s="333">
        <v>1287557.27</v>
      </c>
      <c r="H14" s="333">
        <v>1241672.6299999999</v>
      </c>
      <c r="I14" s="334"/>
      <c r="J14" s="334"/>
      <c r="W14" s="332">
        <v>1</v>
      </c>
      <c r="X14" s="332" t="s">
        <v>99</v>
      </c>
      <c r="Y14" s="332" t="s">
        <v>14</v>
      </c>
      <c r="Z14" s="332">
        <v>36.067414560000003</v>
      </c>
      <c r="AA14" s="332">
        <v>3.8181057260000002</v>
      </c>
      <c r="AB14" s="332">
        <v>42317</v>
      </c>
      <c r="AC14" s="332">
        <v>161570.78</v>
      </c>
      <c r="AD14" s="332">
        <v>2816</v>
      </c>
      <c r="AE14" s="332">
        <v>101565.8394</v>
      </c>
      <c r="AG14" s="374" t="s">
        <v>15</v>
      </c>
      <c r="AH14" s="375">
        <f t="shared" si="1"/>
        <v>0.21299999999999999</v>
      </c>
      <c r="AI14" s="377">
        <v>0.21299999999999999</v>
      </c>
      <c r="AJ14" s="376"/>
      <c r="AK14" s="376"/>
      <c r="AL14" s="376"/>
      <c r="AM14" s="376"/>
      <c r="AN14" s="376"/>
      <c r="AO14" s="376"/>
      <c r="AP14" s="376"/>
      <c r="AQ14" s="376"/>
      <c r="AR14" s="376"/>
      <c r="AS14" s="376"/>
      <c r="AT14" s="376"/>
    </row>
    <row r="15" spans="2:46">
      <c r="B15" s="332"/>
      <c r="C15" s="332"/>
      <c r="D15" s="332"/>
      <c r="E15" s="333"/>
      <c r="F15" s="333"/>
      <c r="G15" s="333"/>
      <c r="H15" s="333"/>
      <c r="I15" s="334"/>
      <c r="J15" s="334"/>
      <c r="U15" s="366"/>
      <c r="W15" s="332">
        <v>1</v>
      </c>
      <c r="X15" s="332" t="s">
        <v>112</v>
      </c>
      <c r="Y15" s="332" t="s">
        <v>18</v>
      </c>
      <c r="Z15" s="332">
        <v>0</v>
      </c>
      <c r="AA15" s="332">
        <v>0</v>
      </c>
      <c r="AB15" s="332">
        <v>5</v>
      </c>
      <c r="AC15" s="332">
        <v>0</v>
      </c>
      <c r="AD15" s="332">
        <v>362</v>
      </c>
      <c r="AE15" s="332">
        <v>0</v>
      </c>
      <c r="AG15" s="374" t="s">
        <v>16</v>
      </c>
      <c r="AH15" s="375">
        <f t="shared" si="1"/>
        <v>0.11700000000000001</v>
      </c>
      <c r="AI15" s="377">
        <v>0.11700000000000001</v>
      </c>
      <c r="AJ15" s="376"/>
      <c r="AK15" s="376"/>
      <c r="AL15" s="376"/>
      <c r="AM15" s="376"/>
      <c r="AN15" s="376"/>
      <c r="AO15" s="376"/>
      <c r="AP15" s="376"/>
      <c r="AQ15" s="376"/>
      <c r="AR15" s="376"/>
      <c r="AS15" s="376"/>
      <c r="AT15" s="376"/>
    </row>
    <row r="16" spans="2:46">
      <c r="B16" s="332"/>
      <c r="C16" s="332"/>
      <c r="D16" s="332"/>
      <c r="E16" s="333"/>
      <c r="F16" s="333"/>
      <c r="G16" s="333"/>
      <c r="H16" s="333"/>
      <c r="I16" s="334"/>
      <c r="J16" s="334"/>
      <c r="W16" s="332">
        <v>1</v>
      </c>
      <c r="X16" s="332" t="s">
        <v>112</v>
      </c>
      <c r="Y16" s="332" t="s">
        <v>117</v>
      </c>
      <c r="Z16" s="332"/>
      <c r="AA16" s="332"/>
      <c r="AB16" s="332">
        <v>0</v>
      </c>
      <c r="AC16" s="332">
        <v>0</v>
      </c>
      <c r="AD16" s="332">
        <v>0</v>
      </c>
      <c r="AE16" s="332">
        <v>0</v>
      </c>
      <c r="AG16" s="374" t="s">
        <v>105</v>
      </c>
      <c r="AH16" s="375">
        <f t="shared" si="1"/>
        <v>0.36</v>
      </c>
      <c r="AI16" s="378">
        <v>0.36</v>
      </c>
      <c r="AJ16" s="376"/>
      <c r="AK16" s="376"/>
      <c r="AL16" s="376"/>
      <c r="AM16" s="376"/>
      <c r="AN16" s="376"/>
      <c r="AO16" s="376"/>
      <c r="AP16" s="376"/>
      <c r="AQ16" s="376"/>
      <c r="AR16" s="376"/>
      <c r="AS16" s="376"/>
      <c r="AT16" s="376"/>
    </row>
    <row r="17" spans="2:46">
      <c r="B17" s="332"/>
      <c r="C17" s="332"/>
      <c r="D17" s="332"/>
      <c r="E17" s="333"/>
      <c r="F17" s="333"/>
      <c r="G17" s="333"/>
      <c r="H17" s="333"/>
      <c r="I17" s="334"/>
      <c r="J17" s="334"/>
      <c r="W17" s="332">
        <v>1</v>
      </c>
      <c r="X17" s="332" t="s">
        <v>99</v>
      </c>
      <c r="Y17" s="332" t="s">
        <v>12</v>
      </c>
      <c r="Z17" s="332">
        <v>26.585642539999998</v>
      </c>
      <c r="AA17" s="332">
        <v>5.527289251</v>
      </c>
      <c r="AB17" s="332">
        <v>35101</v>
      </c>
      <c r="AC17" s="332">
        <v>194013.38</v>
      </c>
      <c r="AD17" s="332">
        <v>1984</v>
      </c>
      <c r="AE17" s="332">
        <v>52745.914799999999</v>
      </c>
      <c r="AG17" s="374" t="s">
        <v>23</v>
      </c>
      <c r="AH17" s="375">
        <f t="shared" si="1"/>
        <v>1.7999999999999999E-2</v>
      </c>
      <c r="AI17" s="377">
        <v>1.7999999999999999E-2</v>
      </c>
      <c r="AJ17" s="376"/>
      <c r="AK17" s="376"/>
      <c r="AL17" s="376"/>
      <c r="AM17" s="376"/>
      <c r="AN17" s="376"/>
      <c r="AO17" s="376"/>
      <c r="AP17" s="376"/>
      <c r="AQ17" s="376"/>
      <c r="AR17" s="376"/>
      <c r="AS17" s="376"/>
      <c r="AT17" s="376"/>
    </row>
    <row r="18" spans="2:46">
      <c r="B18" s="332"/>
      <c r="C18" s="332"/>
      <c r="D18" s="332"/>
      <c r="E18" s="333"/>
      <c r="F18" s="333"/>
      <c r="G18" s="333"/>
      <c r="H18" s="333"/>
      <c r="I18" s="334"/>
      <c r="J18" s="334"/>
      <c r="W18" s="332">
        <v>1</v>
      </c>
      <c r="X18" s="332" t="s">
        <v>99</v>
      </c>
      <c r="Y18" s="332" t="s">
        <v>13</v>
      </c>
      <c r="Z18" s="332">
        <v>27.758835619999999</v>
      </c>
      <c r="AA18" s="332">
        <v>3.8268283680000001</v>
      </c>
      <c r="AB18" s="332">
        <v>43063</v>
      </c>
      <c r="AC18" s="332">
        <v>164794.71</v>
      </c>
      <c r="AD18" s="332">
        <v>2716</v>
      </c>
      <c r="AE18" s="332">
        <v>75392.997539999997</v>
      </c>
      <c r="AG18" s="370" t="s">
        <v>141</v>
      </c>
      <c r="AH18" s="379">
        <f t="shared" si="1"/>
        <v>0.26200000000000001</v>
      </c>
      <c r="AI18" s="370">
        <v>0.26200000000000001</v>
      </c>
      <c r="AJ18" s="370"/>
      <c r="AK18" s="370"/>
      <c r="AL18" s="370"/>
      <c r="AM18" s="370"/>
      <c r="AN18" s="370"/>
      <c r="AO18" s="370"/>
      <c r="AP18" s="370"/>
      <c r="AQ18" s="370"/>
      <c r="AR18" s="370"/>
      <c r="AS18" s="370"/>
      <c r="AT18" s="370"/>
    </row>
    <row r="19" spans="2:46">
      <c r="B19" s="332"/>
      <c r="C19" s="332"/>
      <c r="D19" s="332"/>
      <c r="E19" s="333"/>
      <c r="F19" s="333"/>
      <c r="G19" s="333"/>
      <c r="H19" s="333"/>
      <c r="I19" s="334"/>
      <c r="J19" s="334"/>
      <c r="W19" s="332"/>
      <c r="X19" s="332"/>
      <c r="Y19" s="332"/>
      <c r="Z19" s="332"/>
      <c r="AA19" s="332"/>
      <c r="AB19" s="332"/>
      <c r="AC19" s="332"/>
      <c r="AD19" s="332"/>
      <c r="AE19" s="332"/>
      <c r="AG19" s="370" t="s">
        <v>142</v>
      </c>
      <c r="AH19" s="379">
        <f t="shared" si="1"/>
        <v>0.25800000000000001</v>
      </c>
      <c r="AI19" s="370">
        <v>0.25800000000000001</v>
      </c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</row>
    <row r="20" spans="2:46">
      <c r="B20" s="332"/>
      <c r="C20" s="332"/>
      <c r="D20" s="332"/>
      <c r="E20" s="333"/>
      <c r="F20" s="333"/>
      <c r="G20" s="333"/>
      <c r="H20" s="333"/>
      <c r="I20" s="334"/>
      <c r="J20" s="334"/>
    </row>
    <row r="21" spans="2:46">
      <c r="B21" s="332"/>
      <c r="C21" s="332"/>
      <c r="D21" s="332"/>
      <c r="E21" s="333"/>
      <c r="F21" s="333"/>
      <c r="G21" s="333"/>
      <c r="H21" s="333"/>
      <c r="I21" s="334"/>
      <c r="J21" s="334"/>
      <c r="AG21" s="367" t="s">
        <v>141</v>
      </c>
      <c r="AH21" s="367" t="s">
        <v>152</v>
      </c>
      <c r="AI21" s="367" t="s">
        <v>153</v>
      </c>
      <c r="AJ21" s="367" t="s">
        <v>150</v>
      </c>
      <c r="AK21" s="367" t="s">
        <v>154</v>
      </c>
      <c r="AL21" s="367" t="s">
        <v>155</v>
      </c>
      <c r="AM21" s="367" t="s">
        <v>156</v>
      </c>
      <c r="AN21" s="367" t="s">
        <v>157</v>
      </c>
      <c r="AO21" s="367" t="s">
        <v>158</v>
      </c>
      <c r="AP21" s="367" t="s">
        <v>159</v>
      </c>
      <c r="AQ21" s="367" t="s">
        <v>151</v>
      </c>
      <c r="AR21" s="367" t="s">
        <v>160</v>
      </c>
      <c r="AS21" s="367" t="s">
        <v>161</v>
      </c>
    </row>
    <row r="22" spans="2:46">
      <c r="B22" s="332"/>
      <c r="C22" s="332"/>
      <c r="D22" s="332"/>
      <c r="E22" s="333"/>
      <c r="F22" s="333"/>
      <c r="G22" s="333"/>
      <c r="H22" s="333"/>
      <c r="I22" s="334"/>
      <c r="J22" s="334"/>
    </row>
    <row r="23" spans="2:46">
      <c r="B23" s="332"/>
      <c r="C23" s="332"/>
      <c r="D23" s="332"/>
      <c r="E23" s="333"/>
      <c r="F23" s="333"/>
      <c r="G23" s="333"/>
      <c r="H23" s="333"/>
      <c r="I23" s="334"/>
      <c r="J23" s="334"/>
      <c r="W23" s="332"/>
      <c r="X23" s="332"/>
      <c r="Y23" s="332"/>
      <c r="Z23" s="332"/>
      <c r="AA23" s="332"/>
      <c r="AB23" s="332"/>
      <c r="AC23" s="332"/>
      <c r="AD23" s="332"/>
      <c r="AE23" s="332"/>
    </row>
    <row r="24" spans="2:46">
      <c r="B24" s="332"/>
      <c r="C24" s="332"/>
      <c r="D24" s="332"/>
      <c r="E24" s="333"/>
      <c r="F24" s="333"/>
      <c r="G24" s="333"/>
      <c r="H24" s="333"/>
      <c r="I24" s="334"/>
      <c r="J24" s="334"/>
      <c r="W24" s="332"/>
      <c r="X24" s="332"/>
      <c r="Y24" s="332"/>
      <c r="Z24" s="332"/>
      <c r="AA24" s="332"/>
      <c r="AB24" s="332"/>
      <c r="AC24" s="332"/>
      <c r="AD24" s="332"/>
      <c r="AE24" s="332"/>
    </row>
    <row r="25" spans="2:46">
      <c r="B25" s="332"/>
      <c r="C25" s="332"/>
      <c r="D25" s="332"/>
      <c r="E25" s="333"/>
      <c r="F25" s="333"/>
      <c r="G25" s="333"/>
      <c r="H25" s="333"/>
      <c r="I25" s="334"/>
      <c r="J25" s="334"/>
    </row>
    <row r="27" spans="2:46">
      <c r="AG27" s="368" t="s">
        <v>174</v>
      </c>
      <c r="AH27" s="367" t="s">
        <v>144</v>
      </c>
      <c r="AI27" s="367" t="s">
        <v>140</v>
      </c>
      <c r="AJ27" s="367" t="s">
        <v>135</v>
      </c>
      <c r="AK27" s="367" t="s">
        <v>140</v>
      </c>
      <c r="AL27" s="367" t="s">
        <v>145</v>
      </c>
      <c r="AM27" s="367" t="s">
        <v>146</v>
      </c>
      <c r="AN27" s="367" t="s">
        <v>146</v>
      </c>
      <c r="AO27" s="367" t="s">
        <v>147</v>
      </c>
      <c r="AP27" s="367" t="s">
        <v>148</v>
      </c>
      <c r="AQ27" s="367" t="s">
        <v>149</v>
      </c>
      <c r="AR27" s="367" t="s">
        <v>143</v>
      </c>
      <c r="AS27" s="367" t="s">
        <v>136</v>
      </c>
    </row>
    <row r="28" spans="2:46">
      <c r="AG28" s="371" t="s">
        <v>122</v>
      </c>
      <c r="AH28" s="372" t="s">
        <v>3</v>
      </c>
      <c r="AI28" s="373" t="s">
        <v>123</v>
      </c>
      <c r="AJ28" s="373" t="s">
        <v>124</v>
      </c>
      <c r="AK28" s="373" t="s">
        <v>125</v>
      </c>
      <c r="AL28" s="373" t="s">
        <v>126</v>
      </c>
      <c r="AM28" s="373" t="s">
        <v>127</v>
      </c>
      <c r="AN28" s="373" t="s">
        <v>128</v>
      </c>
      <c r="AO28" s="373" t="s">
        <v>129</v>
      </c>
      <c r="AP28" s="373" t="s">
        <v>130</v>
      </c>
      <c r="AQ28" s="373" t="s">
        <v>131</v>
      </c>
      <c r="AR28" s="373" t="s">
        <v>132</v>
      </c>
      <c r="AS28" s="373" t="s">
        <v>133</v>
      </c>
      <c r="AT28" s="373" t="s">
        <v>134</v>
      </c>
    </row>
    <row r="29" spans="2:46">
      <c r="W29" s="332"/>
      <c r="X29" s="332"/>
      <c r="Y29" s="332"/>
      <c r="Z29" s="332"/>
      <c r="AA29" s="332"/>
      <c r="AB29" s="332"/>
      <c r="AC29" s="332"/>
      <c r="AD29" s="332"/>
      <c r="AE29" s="332"/>
      <c r="AG29" s="374" t="s">
        <v>18</v>
      </c>
      <c r="AH29" s="375" t="e">
        <f>AVERAGE(AI29:AT29)</f>
        <v>#DIV/0!</v>
      </c>
      <c r="AI29" s="376"/>
      <c r="AJ29" s="376"/>
      <c r="AK29" s="376"/>
      <c r="AL29" s="376"/>
      <c r="AM29" s="376"/>
      <c r="AN29" s="376"/>
      <c r="AO29" s="376"/>
      <c r="AP29" s="380"/>
      <c r="AQ29" s="376"/>
      <c r="AR29" s="376"/>
      <c r="AS29" s="376"/>
      <c r="AT29" s="376"/>
    </row>
    <row r="30" spans="2:46">
      <c r="W30" s="332"/>
      <c r="X30" s="332"/>
      <c r="Y30" s="332"/>
      <c r="Z30" s="332"/>
      <c r="AA30" s="332"/>
      <c r="AB30" s="332"/>
      <c r="AC30" s="332"/>
      <c r="AD30" s="332"/>
      <c r="AE30" s="332"/>
      <c r="AG30" s="374" t="s">
        <v>12</v>
      </c>
      <c r="AH30" s="375">
        <f t="shared" ref="AH30:AH44" si="2">AVERAGE(AI30:AT30)</f>
        <v>1</v>
      </c>
      <c r="AI30" s="378">
        <v>1</v>
      </c>
      <c r="AJ30" s="376"/>
      <c r="AK30" s="376"/>
      <c r="AL30" s="376"/>
      <c r="AM30" s="376"/>
      <c r="AN30" s="376"/>
      <c r="AO30" s="376"/>
      <c r="AP30" s="380"/>
      <c r="AQ30" s="376"/>
      <c r="AR30" s="376"/>
      <c r="AS30" s="376"/>
      <c r="AT30" s="376"/>
    </row>
    <row r="31" spans="2:46">
      <c r="W31" s="332"/>
      <c r="X31" s="332"/>
      <c r="Y31" s="332"/>
      <c r="Z31" s="332"/>
      <c r="AA31" s="332"/>
      <c r="AB31" s="332"/>
      <c r="AC31" s="332"/>
      <c r="AD31" s="332"/>
      <c r="AE31" s="332"/>
      <c r="AG31" s="374" t="s">
        <v>97</v>
      </c>
      <c r="AH31" s="375" t="e">
        <f t="shared" si="2"/>
        <v>#DIV/0!</v>
      </c>
      <c r="AI31" s="376"/>
      <c r="AJ31" s="376"/>
      <c r="AK31" s="376"/>
      <c r="AL31" s="376"/>
      <c r="AM31" s="376"/>
      <c r="AN31" s="376"/>
      <c r="AO31" s="376"/>
      <c r="AP31" s="381"/>
      <c r="AQ31" s="376"/>
      <c r="AR31" s="376"/>
      <c r="AS31" s="376"/>
      <c r="AT31" s="376"/>
    </row>
    <row r="32" spans="2:46">
      <c r="W32" s="332"/>
      <c r="X32" s="332"/>
      <c r="Y32" s="332"/>
      <c r="Z32" s="332"/>
      <c r="AA32" s="332"/>
      <c r="AB32" s="332"/>
      <c r="AC32" s="332"/>
      <c r="AD32" s="332"/>
      <c r="AE32" s="332"/>
      <c r="AG32" s="374" t="s">
        <v>13</v>
      </c>
      <c r="AH32" s="375">
        <f t="shared" si="2"/>
        <v>0.23899999999999999</v>
      </c>
      <c r="AI32" s="377">
        <v>0.23899999999999999</v>
      </c>
      <c r="AJ32" s="376"/>
      <c r="AK32" s="376"/>
      <c r="AL32" s="376"/>
      <c r="AM32" s="376"/>
      <c r="AN32" s="376"/>
      <c r="AO32" s="376"/>
      <c r="AP32" s="381"/>
      <c r="AQ32" s="376"/>
      <c r="AR32" s="376"/>
      <c r="AS32" s="376"/>
      <c r="AT32" s="376"/>
    </row>
    <row r="33" spans="33:46">
      <c r="AG33" s="374" t="s">
        <v>14</v>
      </c>
      <c r="AH33" s="375">
        <f t="shared" si="2"/>
        <v>0.56499999999999995</v>
      </c>
      <c r="AI33" s="378">
        <v>0.56499999999999995</v>
      </c>
      <c r="AJ33" s="376"/>
      <c r="AK33" s="376"/>
      <c r="AL33" s="376"/>
      <c r="AM33" s="376"/>
      <c r="AN33" s="376"/>
      <c r="AO33" s="376"/>
      <c r="AP33" s="381"/>
      <c r="AQ33" s="376"/>
      <c r="AR33" s="376"/>
      <c r="AS33" s="376"/>
      <c r="AT33" s="376"/>
    </row>
    <row r="34" spans="33:46">
      <c r="AG34" s="374" t="s">
        <v>175</v>
      </c>
      <c r="AH34" s="375" t="e">
        <f t="shared" si="2"/>
        <v>#DIV/0!</v>
      </c>
      <c r="AI34" s="376"/>
      <c r="AJ34" s="376"/>
      <c r="AK34" s="376"/>
      <c r="AL34" s="376"/>
      <c r="AM34" s="376"/>
      <c r="AN34" s="376"/>
      <c r="AO34" s="376"/>
      <c r="AP34" s="380"/>
      <c r="AQ34" s="376"/>
      <c r="AR34" s="376"/>
      <c r="AS34" s="376"/>
      <c r="AT34" s="376"/>
    </row>
    <row r="35" spans="33:46">
      <c r="AG35" s="374" t="s">
        <v>19</v>
      </c>
      <c r="AH35" s="375" t="e">
        <f t="shared" si="2"/>
        <v>#DIV/0!</v>
      </c>
      <c r="AI35" s="376"/>
      <c r="AJ35" s="376"/>
      <c r="AK35" s="376"/>
      <c r="AL35" s="376"/>
      <c r="AM35" s="376"/>
      <c r="AN35" s="376"/>
      <c r="AO35" s="376"/>
      <c r="AP35" s="381"/>
      <c r="AQ35" s="376"/>
      <c r="AR35" s="376"/>
      <c r="AS35" s="376"/>
      <c r="AT35" s="376"/>
    </row>
    <row r="36" spans="33:46">
      <c r="AG36" s="374" t="s">
        <v>137</v>
      </c>
      <c r="AH36" s="375" t="e">
        <f t="shared" si="2"/>
        <v>#DIV/0!</v>
      </c>
      <c r="AI36" s="376"/>
      <c r="AJ36" s="376"/>
      <c r="AK36" s="376"/>
      <c r="AL36" s="376"/>
      <c r="AM36" s="376"/>
      <c r="AN36" s="376"/>
      <c r="AO36" s="376"/>
      <c r="AP36" s="380"/>
      <c r="AQ36" s="376"/>
      <c r="AR36" s="376"/>
      <c r="AS36" s="376"/>
      <c r="AT36" s="376"/>
    </row>
    <row r="37" spans="33:46">
      <c r="AG37" s="374" t="s">
        <v>138</v>
      </c>
      <c r="AH37" s="375" t="e">
        <f t="shared" si="2"/>
        <v>#DIV/0!</v>
      </c>
      <c r="AI37" s="376"/>
      <c r="AJ37" s="376"/>
      <c r="AK37" s="376"/>
      <c r="AL37" s="376"/>
      <c r="AM37" s="376"/>
      <c r="AN37" s="376"/>
      <c r="AO37" s="376"/>
      <c r="AP37" s="380"/>
      <c r="AQ37" s="376"/>
      <c r="AR37" s="376"/>
      <c r="AS37" s="376"/>
      <c r="AT37" s="376"/>
    </row>
    <row r="38" spans="33:46">
      <c r="AG38" s="374" t="s">
        <v>17</v>
      </c>
      <c r="AH38" s="375">
        <f t="shared" si="2"/>
        <v>1</v>
      </c>
      <c r="AI38" s="378">
        <v>1</v>
      </c>
      <c r="AJ38" s="376"/>
      <c r="AK38" s="376"/>
      <c r="AL38" s="376"/>
      <c r="AM38" s="376"/>
      <c r="AN38" s="376"/>
      <c r="AO38" s="376"/>
      <c r="AP38" s="380"/>
      <c r="AQ38" s="376"/>
      <c r="AR38" s="376"/>
      <c r="AS38" s="376"/>
      <c r="AT38" s="376"/>
    </row>
    <row r="39" spans="33:46">
      <c r="AG39" s="374" t="s">
        <v>15</v>
      </c>
      <c r="AH39" s="375">
        <f t="shared" si="2"/>
        <v>0.46300000000000002</v>
      </c>
      <c r="AI39" s="378">
        <v>0.46300000000000002</v>
      </c>
      <c r="AJ39" s="376"/>
      <c r="AK39" s="376"/>
      <c r="AL39" s="376"/>
      <c r="AM39" s="376"/>
      <c r="AN39" s="376"/>
      <c r="AO39" s="376"/>
      <c r="AP39" s="380"/>
      <c r="AQ39" s="376"/>
      <c r="AR39" s="376"/>
      <c r="AS39" s="376"/>
      <c r="AT39" s="376"/>
    </row>
    <row r="40" spans="33:46">
      <c r="AG40" s="374" t="s">
        <v>16</v>
      </c>
      <c r="AH40" s="375">
        <f t="shared" si="2"/>
        <v>0.498</v>
      </c>
      <c r="AI40" s="378">
        <v>0.498</v>
      </c>
      <c r="AJ40" s="376"/>
      <c r="AK40" s="376"/>
      <c r="AL40" s="376"/>
      <c r="AM40" s="376"/>
      <c r="AN40" s="376"/>
      <c r="AO40" s="376"/>
      <c r="AP40" s="381"/>
      <c r="AQ40" s="376"/>
      <c r="AR40" s="376"/>
      <c r="AS40" s="376"/>
      <c r="AT40" s="376"/>
    </row>
    <row r="41" spans="33:46">
      <c r="AG41" s="374" t="s">
        <v>105</v>
      </c>
      <c r="AH41" s="375">
        <f t="shared" si="2"/>
        <v>0.65</v>
      </c>
      <c r="AI41" s="378">
        <v>0.65</v>
      </c>
      <c r="AJ41" s="376"/>
      <c r="AK41" s="376"/>
      <c r="AL41" s="376"/>
      <c r="AM41" s="376"/>
      <c r="AN41" s="376"/>
      <c r="AO41" s="376"/>
      <c r="AP41" s="381"/>
      <c r="AQ41" s="376"/>
      <c r="AR41" s="376"/>
      <c r="AS41" s="376"/>
      <c r="AT41" s="376"/>
    </row>
    <row r="42" spans="33:46">
      <c r="AG42" s="374" t="s">
        <v>23</v>
      </c>
      <c r="AH42" s="375" t="e">
        <f t="shared" si="2"/>
        <v>#DIV/0!</v>
      </c>
      <c r="AI42" s="376"/>
      <c r="AJ42" s="376"/>
      <c r="AK42" s="376"/>
      <c r="AL42" s="376"/>
      <c r="AM42" s="376"/>
      <c r="AN42" s="376"/>
      <c r="AO42" s="376"/>
      <c r="AP42" s="380"/>
      <c r="AQ42" s="376"/>
      <c r="AR42" s="376"/>
      <c r="AS42" s="376"/>
      <c r="AT42" s="376"/>
    </row>
    <row r="43" spans="33:46">
      <c r="AG43" s="382" t="s">
        <v>141</v>
      </c>
      <c r="AH43" s="379">
        <f t="shared" si="2"/>
        <v>0.58899999999999997</v>
      </c>
      <c r="AI43" s="370">
        <v>0.58899999999999997</v>
      </c>
      <c r="AJ43" s="370"/>
      <c r="AK43" s="370"/>
      <c r="AL43" s="370"/>
      <c r="AM43" s="370"/>
      <c r="AN43" s="370"/>
      <c r="AO43" s="370"/>
      <c r="AP43" s="370"/>
      <c r="AQ43" s="370"/>
      <c r="AR43" s="370"/>
      <c r="AS43" s="370"/>
      <c r="AT43" s="370"/>
    </row>
    <row r="44" spans="33:46">
      <c r="AG44" s="382" t="s">
        <v>142</v>
      </c>
      <c r="AH44" s="379">
        <f t="shared" si="2"/>
        <v>0.58199999999999996</v>
      </c>
      <c r="AI44" s="370">
        <v>0.58199999999999996</v>
      </c>
      <c r="AJ44" s="370"/>
      <c r="AK44" s="370"/>
      <c r="AL44" s="370"/>
      <c r="AM44" s="370"/>
      <c r="AN44" s="370"/>
      <c r="AO44" s="370"/>
      <c r="AP44" s="370"/>
      <c r="AQ44" s="370"/>
      <c r="AR44" s="370"/>
      <c r="AS44" s="370"/>
      <c r="AT44" s="370"/>
    </row>
    <row r="46" spans="33:46">
      <c r="AG46" s="367" t="s">
        <v>141</v>
      </c>
      <c r="AH46" s="367" t="s">
        <v>152</v>
      </c>
      <c r="AI46" s="367" t="s">
        <v>153</v>
      </c>
      <c r="AJ46" s="367" t="s">
        <v>150</v>
      </c>
      <c r="AK46" s="367" t="s">
        <v>154</v>
      </c>
      <c r="AL46" s="367" t="s">
        <v>155</v>
      </c>
      <c r="AM46" s="367" t="s">
        <v>156</v>
      </c>
      <c r="AN46" s="367" t="s">
        <v>157</v>
      </c>
      <c r="AO46" s="367" t="s">
        <v>158</v>
      </c>
      <c r="AP46" s="367" t="s">
        <v>159</v>
      </c>
      <c r="AQ46" s="367" t="s">
        <v>151</v>
      </c>
      <c r="AR46" s="367" t="s">
        <v>160</v>
      </c>
      <c r="AS46" s="367" t="s">
        <v>161</v>
      </c>
    </row>
    <row r="49" spans="33:45">
      <c r="AG49" s="367" t="s">
        <v>141</v>
      </c>
      <c r="AH49" s="367" t="s">
        <v>152</v>
      </c>
      <c r="AI49" s="367" t="s">
        <v>153</v>
      </c>
      <c r="AJ49" s="367" t="s">
        <v>150</v>
      </c>
      <c r="AK49" s="367" t="s">
        <v>154</v>
      </c>
      <c r="AL49" s="367" t="s">
        <v>155</v>
      </c>
      <c r="AM49" s="367" t="s">
        <v>156</v>
      </c>
      <c r="AN49" s="367" t="s">
        <v>157</v>
      </c>
      <c r="AO49" s="367" t="s">
        <v>158</v>
      </c>
      <c r="AP49" s="367" t="s">
        <v>159</v>
      </c>
      <c r="AQ49" s="367" t="s">
        <v>151</v>
      </c>
      <c r="AR49" s="367" t="s">
        <v>160</v>
      </c>
      <c r="AS49" s="367" t="s">
        <v>161</v>
      </c>
    </row>
    <row r="50" spans="33:45">
      <c r="AG50" s="367" t="s">
        <v>142</v>
      </c>
      <c r="AH50" s="367" t="s">
        <v>162</v>
      </c>
      <c r="AI50" s="367" t="s">
        <v>163</v>
      </c>
      <c r="AJ50" s="367" t="s">
        <v>164</v>
      </c>
      <c r="AK50" s="367" t="s">
        <v>165</v>
      </c>
      <c r="AL50" s="367" t="s">
        <v>166</v>
      </c>
      <c r="AM50" s="367" t="s">
        <v>167</v>
      </c>
      <c r="AN50" s="367" t="s">
        <v>168</v>
      </c>
      <c r="AO50" s="367" t="s">
        <v>139</v>
      </c>
      <c r="AP50" s="367" t="s">
        <v>169</v>
      </c>
      <c r="AQ50" s="367" t="s">
        <v>170</v>
      </c>
      <c r="AR50" s="367" t="s">
        <v>171</v>
      </c>
      <c r="AS50" s="367" t="s">
        <v>172</v>
      </c>
    </row>
  </sheetData>
  <mergeCells count="4">
    <mergeCell ref="L2:P2"/>
    <mergeCell ref="R2:U2"/>
    <mergeCell ref="W2:AE2"/>
    <mergeCell ref="B2:H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42A6-515C-4482-966C-D152BC6DA221}">
  <sheetPr codeName="Sheet22">
    <tabColor rgb="FFC7E1B5"/>
  </sheetPr>
  <dimension ref="A1:AA19"/>
  <sheetViews>
    <sheetView showGridLines="0" zoomScaleNormal="100" workbookViewId="0">
      <selection activeCell="X27" sqref="X27"/>
    </sheetView>
  </sheetViews>
  <sheetFormatPr baseColWidth="10" defaultColWidth="8.6640625" defaultRowHeight="15"/>
  <cols>
    <col min="25" max="26" width="8.5" customWidth="1"/>
  </cols>
  <sheetData>
    <row r="1" spans="1:27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 spans="1:27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</row>
    <row r="3" spans="1:27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 spans="1:27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1:27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</row>
    <row r="6" spans="1:27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</row>
    <row r="7" spans="1:27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 t="s">
        <v>71</v>
      </c>
      <c r="Z7" s="118"/>
      <c r="AA7" s="118"/>
    </row>
    <row r="8" spans="1:27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>
        <v>1</v>
      </c>
      <c r="Z8" s="226">
        <v>0.22</v>
      </c>
      <c r="AA8" s="226">
        <v>0.32</v>
      </c>
    </row>
    <row r="9" spans="1:27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>
        <v>2</v>
      </c>
      <c r="Z9" s="226">
        <v>0.22</v>
      </c>
      <c r="AA9" s="226">
        <v>0.32</v>
      </c>
    </row>
    <row r="10" spans="1:27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>
        <v>3</v>
      </c>
      <c r="Z10" s="226">
        <v>0.22</v>
      </c>
      <c r="AA10" s="226">
        <v>0.32</v>
      </c>
    </row>
    <row r="11" spans="1:27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>
        <v>4</v>
      </c>
      <c r="Z11" s="226">
        <v>0.22</v>
      </c>
      <c r="AA11" s="226">
        <v>0.32</v>
      </c>
    </row>
    <row r="12" spans="1:27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>
        <v>5</v>
      </c>
      <c r="Z12" s="226">
        <v>0.22</v>
      </c>
      <c r="AA12" s="226">
        <v>0.32</v>
      </c>
    </row>
    <row r="13" spans="1:27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>
        <v>6</v>
      </c>
      <c r="Z13" s="226">
        <v>0.22</v>
      </c>
      <c r="AA13" s="226">
        <v>0.32</v>
      </c>
    </row>
    <row r="14" spans="1:27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>
        <v>7</v>
      </c>
      <c r="Z14" s="226">
        <v>0.22</v>
      </c>
      <c r="AA14" s="226">
        <v>0.32</v>
      </c>
    </row>
    <row r="15" spans="1:27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>
        <v>8</v>
      </c>
      <c r="Z15" s="226">
        <v>0.22</v>
      </c>
      <c r="AA15" s="226">
        <v>0.32</v>
      </c>
    </row>
    <row r="16" spans="1:27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>
        <v>9</v>
      </c>
      <c r="Z16" s="226">
        <v>0.22</v>
      </c>
      <c r="AA16" s="226">
        <v>0.32</v>
      </c>
    </row>
    <row r="17" spans="1:27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>
        <v>10</v>
      </c>
      <c r="Z17" s="226">
        <v>0.22</v>
      </c>
      <c r="AA17" s="226">
        <v>0.32</v>
      </c>
    </row>
    <row r="18" spans="1:27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>
        <v>11</v>
      </c>
      <c r="Z18" s="226">
        <v>0.22</v>
      </c>
      <c r="AA18" s="226">
        <v>0.32</v>
      </c>
    </row>
    <row r="19" spans="1:27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>
        <v>12</v>
      </c>
      <c r="Z19" s="226">
        <v>0.22</v>
      </c>
      <c r="AA19" s="226">
        <v>0.32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A620-C2F6-4779-A35A-97BD0A1EE4BC}">
  <sheetPr codeName="Sheet23">
    <tabColor rgb="FFC7E1B5"/>
  </sheetPr>
  <dimension ref="Y8:Z20"/>
  <sheetViews>
    <sheetView showGridLines="0" zoomScale="90" zoomScaleNormal="90" workbookViewId="0">
      <selection activeCell="AB103" sqref="AB103"/>
    </sheetView>
  </sheetViews>
  <sheetFormatPr baseColWidth="10" defaultColWidth="8.6640625" defaultRowHeight="15"/>
  <cols>
    <col min="25" max="26" width="8.5" customWidth="1"/>
  </cols>
  <sheetData>
    <row r="8" spans="25:26">
      <c r="Y8" t="s">
        <v>71</v>
      </c>
    </row>
    <row r="9" spans="25:26">
      <c r="Y9">
        <v>1</v>
      </c>
      <c r="Z9" s="78">
        <v>0.8</v>
      </c>
    </row>
    <row r="10" spans="25:26">
      <c r="Y10">
        <v>2</v>
      </c>
      <c r="Z10" s="78">
        <v>0.8</v>
      </c>
    </row>
    <row r="11" spans="25:26">
      <c r="Y11">
        <v>3</v>
      </c>
      <c r="Z11" s="78">
        <v>0.8</v>
      </c>
    </row>
    <row r="12" spans="25:26">
      <c r="Y12">
        <v>4</v>
      </c>
      <c r="Z12" s="78">
        <v>0.8</v>
      </c>
    </row>
    <row r="13" spans="25:26">
      <c r="Y13">
        <v>5</v>
      </c>
      <c r="Z13" s="78">
        <v>0.8</v>
      </c>
    </row>
    <row r="14" spans="25:26">
      <c r="Y14">
        <v>6</v>
      </c>
      <c r="Z14" s="78">
        <v>0.8</v>
      </c>
    </row>
    <row r="15" spans="25:26">
      <c r="Y15">
        <v>7</v>
      </c>
      <c r="Z15" s="78">
        <v>0.8</v>
      </c>
    </row>
    <row r="16" spans="25:26">
      <c r="Y16">
        <v>8</v>
      </c>
      <c r="Z16" s="78">
        <v>0.8</v>
      </c>
    </row>
    <row r="17" spans="25:26">
      <c r="Y17">
        <v>9</v>
      </c>
      <c r="Z17" s="78">
        <v>0.8</v>
      </c>
    </row>
    <row r="18" spans="25:26">
      <c r="Y18">
        <v>10</v>
      </c>
      <c r="Z18" s="78">
        <v>0.8</v>
      </c>
    </row>
    <row r="19" spans="25:26">
      <c r="Y19">
        <v>11</v>
      </c>
      <c r="Z19" s="78">
        <v>0.8</v>
      </c>
    </row>
    <row r="20" spans="25:26">
      <c r="Y20">
        <v>12</v>
      </c>
      <c r="Z20" s="78">
        <v>0.8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7289-9AC6-42EE-800C-620FBAC70F9F}">
  <sheetPr codeName="Sheet24">
    <tabColor rgb="FFC7E1B5"/>
  </sheetPr>
  <dimension ref="Y7:Z19"/>
  <sheetViews>
    <sheetView showGridLines="0" zoomScale="90" zoomScaleNormal="90" workbookViewId="0">
      <selection activeCell="AB98" sqref="AB98"/>
    </sheetView>
  </sheetViews>
  <sheetFormatPr baseColWidth="10" defaultColWidth="8.6640625" defaultRowHeight="15"/>
  <cols>
    <col min="25" max="26" width="8.5" customWidth="1"/>
  </cols>
  <sheetData>
    <row r="7" spans="25:26">
      <c r="Y7" s="85" t="s">
        <v>71</v>
      </c>
      <c r="Z7" s="85"/>
    </row>
    <row r="8" spans="25:26">
      <c r="Y8" s="85">
        <v>1</v>
      </c>
      <c r="Z8" s="86">
        <v>0.8</v>
      </c>
    </row>
    <row r="9" spans="25:26">
      <c r="Y9" s="85">
        <v>2</v>
      </c>
      <c r="Z9" s="86">
        <v>0.8</v>
      </c>
    </row>
    <row r="10" spans="25:26">
      <c r="Y10" s="85">
        <v>3</v>
      </c>
      <c r="Z10" s="86">
        <v>0.8</v>
      </c>
    </row>
    <row r="11" spans="25:26">
      <c r="Y11" s="85">
        <v>4</v>
      </c>
      <c r="Z11" s="86">
        <v>0.8</v>
      </c>
    </row>
    <row r="12" spans="25:26">
      <c r="Y12" s="85">
        <v>5</v>
      </c>
      <c r="Z12" s="86">
        <v>0.8</v>
      </c>
    </row>
    <row r="13" spans="25:26">
      <c r="Y13" s="85">
        <v>6</v>
      </c>
      <c r="Z13" s="86">
        <v>0.8</v>
      </c>
    </row>
    <row r="14" spans="25:26">
      <c r="Y14" s="85">
        <v>7</v>
      </c>
      <c r="Z14" s="86">
        <v>0.8</v>
      </c>
    </row>
    <row r="15" spans="25:26">
      <c r="Y15" s="85">
        <v>8</v>
      </c>
      <c r="Z15" s="86">
        <v>0.8</v>
      </c>
    </row>
    <row r="16" spans="25:26">
      <c r="Y16" s="85">
        <v>9</v>
      </c>
      <c r="Z16" s="86">
        <v>0.8</v>
      </c>
    </row>
    <row r="17" spans="25:26">
      <c r="Y17" s="85">
        <v>10</v>
      </c>
      <c r="Z17" s="86">
        <v>0.8</v>
      </c>
    </row>
    <row r="18" spans="25:26">
      <c r="Y18" s="85">
        <v>11</v>
      </c>
      <c r="Z18" s="86">
        <v>0.8</v>
      </c>
    </row>
    <row r="19" spans="25:26">
      <c r="Y19" s="85">
        <v>12</v>
      </c>
      <c r="Z19" s="86">
        <v>0.8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963A-F214-4519-A3BA-FBD3E4C72A30}">
  <sheetPr codeName="Sheet25">
    <tabColor rgb="FFC7E1B5"/>
  </sheetPr>
  <dimension ref="Y7:Z19"/>
  <sheetViews>
    <sheetView showGridLines="0" topLeftCell="A40" workbookViewId="0">
      <selection activeCell="AC22" sqref="AC22"/>
    </sheetView>
  </sheetViews>
  <sheetFormatPr baseColWidth="10" defaultColWidth="8.6640625" defaultRowHeight="15"/>
  <cols>
    <col min="25" max="26" width="8.5" customWidth="1"/>
  </cols>
  <sheetData>
    <row r="7" spans="25:26">
      <c r="Y7" t="s">
        <v>71</v>
      </c>
    </row>
    <row r="8" spans="25:26">
      <c r="Y8">
        <v>1</v>
      </c>
      <c r="Z8" s="78">
        <v>0.8</v>
      </c>
    </row>
    <row r="9" spans="25:26">
      <c r="Y9">
        <v>2</v>
      </c>
      <c r="Z9" s="78">
        <v>0.8</v>
      </c>
    </row>
    <row r="10" spans="25:26">
      <c r="Y10">
        <v>3</v>
      </c>
      <c r="Z10" s="78">
        <v>0.8</v>
      </c>
    </row>
    <row r="11" spans="25:26">
      <c r="Y11">
        <v>4</v>
      </c>
      <c r="Z11" s="78">
        <v>0.8</v>
      </c>
    </row>
    <row r="12" spans="25:26">
      <c r="Y12">
        <v>5</v>
      </c>
      <c r="Z12" s="78">
        <v>0.8</v>
      </c>
    </row>
    <row r="13" spans="25:26">
      <c r="Y13">
        <v>6</v>
      </c>
      <c r="Z13" s="78">
        <v>0.8</v>
      </c>
    </row>
    <row r="14" spans="25:26">
      <c r="Y14">
        <v>7</v>
      </c>
      <c r="Z14" s="78">
        <v>0.8</v>
      </c>
    </row>
    <row r="15" spans="25:26">
      <c r="Y15">
        <v>8</v>
      </c>
      <c r="Z15" s="78">
        <v>0.8</v>
      </c>
    </row>
    <row r="16" spans="25:26">
      <c r="Y16">
        <v>9</v>
      </c>
      <c r="Z16" s="78">
        <v>0.8</v>
      </c>
    </row>
    <row r="17" spans="25:26">
      <c r="Y17">
        <v>10</v>
      </c>
      <c r="Z17" s="78">
        <v>0.8</v>
      </c>
    </row>
    <row r="18" spans="25:26">
      <c r="Y18">
        <v>11</v>
      </c>
      <c r="Z18" s="78">
        <v>0.8</v>
      </c>
    </row>
    <row r="19" spans="25:26">
      <c r="Y19">
        <v>12</v>
      </c>
      <c r="Z19" s="78">
        <v>0.8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B23C-36C4-4EDF-BD57-6322BBCC08A5}">
  <sheetPr codeName="Sheet26">
    <tabColor rgb="FFC7E1B5"/>
  </sheetPr>
  <dimension ref="Y7:Z19"/>
  <sheetViews>
    <sheetView showGridLines="0" topLeftCell="A29" workbookViewId="0">
      <selection activeCell="Z97" sqref="Z97"/>
    </sheetView>
  </sheetViews>
  <sheetFormatPr baseColWidth="10" defaultColWidth="8.6640625" defaultRowHeight="15"/>
  <cols>
    <col min="25" max="26" width="8.5" customWidth="1"/>
  </cols>
  <sheetData>
    <row r="7" spans="25:26">
      <c r="Y7" t="s">
        <v>71</v>
      </c>
    </row>
    <row r="8" spans="25:26">
      <c r="Y8">
        <v>1</v>
      </c>
      <c r="Z8" s="78">
        <v>0.8</v>
      </c>
    </row>
    <row r="9" spans="25:26">
      <c r="Y9">
        <v>2</v>
      </c>
      <c r="Z9" s="78">
        <v>0.8</v>
      </c>
    </row>
    <row r="10" spans="25:26">
      <c r="Y10">
        <v>3</v>
      </c>
      <c r="Z10" s="78">
        <v>0.8</v>
      </c>
    </row>
    <row r="11" spans="25:26">
      <c r="Y11">
        <v>4</v>
      </c>
      <c r="Z11" s="78">
        <v>0.8</v>
      </c>
    </row>
    <row r="12" spans="25:26">
      <c r="Y12">
        <v>5</v>
      </c>
      <c r="Z12" s="78">
        <v>0.8</v>
      </c>
    </row>
    <row r="13" spans="25:26">
      <c r="Y13">
        <v>6</v>
      </c>
      <c r="Z13" s="78">
        <v>0.8</v>
      </c>
    </row>
    <row r="14" spans="25:26">
      <c r="Y14">
        <v>7</v>
      </c>
      <c r="Z14" s="78">
        <v>0.8</v>
      </c>
    </row>
    <row r="15" spans="25:26">
      <c r="Y15">
        <v>8</v>
      </c>
      <c r="Z15" s="78">
        <v>0.8</v>
      </c>
    </row>
    <row r="16" spans="25:26">
      <c r="Y16">
        <v>9</v>
      </c>
      <c r="Z16" s="78">
        <v>0.8</v>
      </c>
    </row>
    <row r="17" spans="25:26">
      <c r="Y17">
        <v>10</v>
      </c>
      <c r="Z17" s="78">
        <v>0.8</v>
      </c>
    </row>
    <row r="18" spans="25:26">
      <c r="Y18">
        <v>11</v>
      </c>
      <c r="Z18" s="78">
        <v>0.8</v>
      </c>
    </row>
    <row r="19" spans="25:26">
      <c r="Y19">
        <v>12</v>
      </c>
      <c r="Z19" s="78">
        <v>0.8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13E8-4794-40B1-93DE-9FDA92BB95CA}">
  <sheetPr codeName="Sheet27">
    <tabColor rgb="FFC7E1B5"/>
  </sheetPr>
  <dimension ref="Y7:Z19"/>
  <sheetViews>
    <sheetView showGridLines="0" topLeftCell="A6" zoomScaleNormal="100" workbookViewId="0">
      <selection activeCell="AB19" sqref="AB19"/>
    </sheetView>
  </sheetViews>
  <sheetFormatPr baseColWidth="10" defaultColWidth="8.6640625" defaultRowHeight="15"/>
  <cols>
    <col min="25" max="26" width="8.5" customWidth="1"/>
  </cols>
  <sheetData>
    <row r="7" spans="25:26">
      <c r="Y7" t="s">
        <v>71</v>
      </c>
    </row>
    <row r="8" spans="25:26">
      <c r="Y8">
        <v>1</v>
      </c>
      <c r="Z8" s="78">
        <v>0.3</v>
      </c>
    </row>
    <row r="9" spans="25:26">
      <c r="Y9">
        <v>2</v>
      </c>
      <c r="Z9" s="78">
        <v>0.3</v>
      </c>
    </row>
    <row r="10" spans="25:26">
      <c r="Y10">
        <v>3</v>
      </c>
      <c r="Z10" s="78">
        <v>0.3</v>
      </c>
    </row>
    <row r="11" spans="25:26">
      <c r="Y11">
        <v>4</v>
      </c>
      <c r="Z11" s="78">
        <v>0.3</v>
      </c>
    </row>
    <row r="12" spans="25:26">
      <c r="Y12">
        <v>5</v>
      </c>
      <c r="Z12" s="78">
        <v>0.3</v>
      </c>
    </row>
    <row r="13" spans="25:26">
      <c r="Y13">
        <v>6</v>
      </c>
      <c r="Z13" s="78">
        <v>0.3</v>
      </c>
    </row>
    <row r="14" spans="25:26">
      <c r="Y14">
        <v>7</v>
      </c>
      <c r="Z14" s="78">
        <v>0.3</v>
      </c>
    </row>
    <row r="15" spans="25:26">
      <c r="Y15">
        <v>8</v>
      </c>
      <c r="Z15" s="78">
        <v>0.3</v>
      </c>
    </row>
    <row r="16" spans="25:26">
      <c r="Y16">
        <v>9</v>
      </c>
      <c r="Z16" s="78">
        <v>0.3</v>
      </c>
    </row>
    <row r="17" spans="25:26">
      <c r="Y17">
        <v>10</v>
      </c>
      <c r="Z17" s="78">
        <v>0.3</v>
      </c>
    </row>
    <row r="18" spans="25:26">
      <c r="Y18">
        <v>11</v>
      </c>
      <c r="Z18" s="78">
        <v>0.3</v>
      </c>
    </row>
    <row r="19" spans="25:26">
      <c r="Y19">
        <v>12</v>
      </c>
      <c r="Z19" s="78">
        <v>0.3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F5ED-DD12-4ED6-8BA9-BACDC676B171}">
  <sheetPr codeName="Sheet28">
    <tabColor rgb="FFC7E1B5"/>
  </sheetPr>
  <dimension ref="Y7:AA19"/>
  <sheetViews>
    <sheetView showGridLines="0" workbookViewId="0">
      <selection activeCell="AA34" sqref="AA34"/>
    </sheetView>
  </sheetViews>
  <sheetFormatPr baseColWidth="10" defaultColWidth="8.6640625" defaultRowHeight="15"/>
  <cols>
    <col min="25" max="26" width="8.5" customWidth="1"/>
  </cols>
  <sheetData>
    <row r="7" spans="25:27">
      <c r="Y7" t="s">
        <v>71</v>
      </c>
    </row>
    <row r="8" spans="25:27">
      <c r="Y8">
        <v>1</v>
      </c>
      <c r="Z8" s="78">
        <v>0.85</v>
      </c>
      <c r="AA8" s="78">
        <v>0.95</v>
      </c>
    </row>
    <row r="9" spans="25:27">
      <c r="Y9">
        <v>2</v>
      </c>
      <c r="Z9" s="78">
        <v>0.85</v>
      </c>
      <c r="AA9" s="78">
        <v>0.95</v>
      </c>
    </row>
    <row r="10" spans="25:27">
      <c r="Y10">
        <v>3</v>
      </c>
      <c r="Z10" s="78">
        <v>0.85</v>
      </c>
      <c r="AA10" s="78">
        <v>0.95</v>
      </c>
    </row>
    <row r="11" spans="25:27">
      <c r="Y11">
        <v>4</v>
      </c>
      <c r="Z11" s="78">
        <v>0.85</v>
      </c>
      <c r="AA11" s="78">
        <v>0.95</v>
      </c>
    </row>
    <row r="12" spans="25:27">
      <c r="Y12">
        <v>5</v>
      </c>
      <c r="Z12" s="78">
        <v>0.85</v>
      </c>
      <c r="AA12" s="78">
        <v>0.95</v>
      </c>
    </row>
    <row r="13" spans="25:27">
      <c r="Y13">
        <v>6</v>
      </c>
      <c r="Z13" s="78">
        <v>0.85</v>
      </c>
      <c r="AA13" s="78">
        <v>0.95</v>
      </c>
    </row>
    <row r="14" spans="25:27">
      <c r="Y14">
        <v>7</v>
      </c>
      <c r="Z14" s="78">
        <v>0.85</v>
      </c>
      <c r="AA14" s="78">
        <v>0.95</v>
      </c>
    </row>
    <row r="15" spans="25:27">
      <c r="Y15">
        <v>8</v>
      </c>
      <c r="Z15" s="78">
        <v>0.85</v>
      </c>
      <c r="AA15" s="78">
        <v>0.95</v>
      </c>
    </row>
    <row r="16" spans="25:27">
      <c r="Y16">
        <v>9</v>
      </c>
      <c r="Z16" s="78">
        <v>0.85</v>
      </c>
      <c r="AA16" s="78">
        <v>0.95</v>
      </c>
    </row>
    <row r="17" spans="25:27">
      <c r="Y17">
        <v>10</v>
      </c>
      <c r="Z17" s="78">
        <v>0.85</v>
      </c>
      <c r="AA17" s="78">
        <v>0.95</v>
      </c>
    </row>
    <row r="18" spans="25:27">
      <c r="Y18">
        <v>11</v>
      </c>
      <c r="Z18" s="78">
        <v>0.85</v>
      </c>
      <c r="AA18" s="78">
        <v>0.95</v>
      </c>
    </row>
    <row r="19" spans="25:27">
      <c r="Y19">
        <v>12</v>
      </c>
      <c r="Z19" s="78">
        <v>0.85</v>
      </c>
      <c r="AA19" s="78">
        <v>0.95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A22787BC13248A93E0510E8B8E130" ma:contentTypeVersion="17" ma:contentTypeDescription="Create a new document." ma:contentTypeScope="" ma:versionID="6c398fd9918864e3ac89ce34a7775277">
  <xsd:schema xmlns:xsd="http://www.w3.org/2001/XMLSchema" xmlns:xs="http://www.w3.org/2001/XMLSchema" xmlns:p="http://schemas.microsoft.com/office/2006/metadata/properties" xmlns:ns2="6ca41eb5-f526-4dda-8518-20f27346950f" xmlns:ns3="afa980cf-0bba-48ce-b5dc-00a12ca2aca8" targetNamespace="http://schemas.microsoft.com/office/2006/metadata/properties" ma:root="true" ma:fieldsID="438ce00a225b363a6c0d98f0fa956fff" ns2:_="" ns3:_="">
    <xsd:import namespace="6ca41eb5-f526-4dda-8518-20f27346950f"/>
    <xsd:import namespace="afa980cf-0bba-48ce-b5dc-00a12ca2a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41eb5-f526-4dda-8518-20f273469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980cf-0bba-48ce-b5dc-00a12ca2aca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73a59c-d557-414c-9eda-98fd5e65c3d8}" ma:internalName="TaxCatchAll" ma:showField="CatchAllData" ma:web="afa980cf-0bba-48ce-b5dc-00a12ca2ac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ca41eb5-f526-4dda-8518-20f27346950f" xsi:nil="true"/>
    <TaxCatchAll xmlns="afa980cf-0bba-48ce-b5dc-00a12ca2aca8" xsi:nil="true"/>
    <lcf76f155ced4ddcb4097134ff3c332f xmlns="6ca41eb5-f526-4dda-8518-20f27346950f">
      <Terms xmlns="http://schemas.microsoft.com/office/infopath/2007/PartnerControls"/>
    </lcf76f155ced4ddcb4097134ff3c332f>
    <SharedWithUsers xmlns="afa980cf-0bba-48ce-b5dc-00a12ca2aca8">
      <UserInfo>
        <DisplayName>Adrielle Costa Souza</DisplayName>
        <AccountId>577</AccountId>
        <AccountType/>
      </UserInfo>
      <UserInfo>
        <DisplayName>Henrique Thomas Koller</DisplayName>
        <AccountId>527</AccountId>
        <AccountType/>
      </UserInfo>
      <UserInfo>
        <DisplayName>ANDRE LUIS MARQUES FERREI DOS SANTOS</DisplayName>
        <AccountId>531</AccountId>
        <AccountType/>
      </UserInfo>
      <UserInfo>
        <DisplayName>Thamiris Di Giacomo Estevam (AC)</DisplayName>
        <AccountId>147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C655FD3-5674-4D29-89FB-6D08955CE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41eb5-f526-4dda-8518-20f27346950f"/>
    <ds:schemaRef ds:uri="afa980cf-0bba-48ce-b5dc-00a12ca2ac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F7FF54-6A3F-40C8-BE9E-D30F2B0E8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19E3B-0816-4ABD-AC03-1BD87EF591A8}">
  <ds:schemaRefs>
    <ds:schemaRef ds:uri="http://schemas.microsoft.com/office/2006/metadata/properties"/>
    <ds:schemaRef ds:uri="http://schemas.microsoft.com/office/infopath/2007/PartnerControls"/>
    <ds:schemaRef ds:uri="6ca41eb5-f526-4dda-8518-20f27346950f"/>
    <ds:schemaRef ds:uri="afa980cf-0bba-48ce-b5dc-00a12ca2ac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aux</vt:lpstr>
      <vt:lpstr>MANAGERIAL DASHBOARD_2026</vt:lpstr>
      <vt:lpstr>PORTFOLIO</vt:lpstr>
      <vt:lpstr>BEER</vt:lpstr>
      <vt:lpstr>Skol + Brahma</vt:lpstr>
      <vt:lpstr>Flying Fish</vt:lpstr>
      <vt:lpstr>Brutal Fruit</vt:lpstr>
      <vt:lpstr>Brahma</vt:lpstr>
      <vt:lpstr>Beats</vt:lpstr>
      <vt:lpstr>Budweiser</vt:lpstr>
      <vt:lpstr>Corona</vt:lpstr>
      <vt:lpstr>Fusion</vt:lpstr>
      <vt:lpstr>Guarana</vt:lpstr>
      <vt:lpstr>Mikes</vt:lpstr>
      <vt:lpstr>Skol</vt:lpstr>
      <vt:lpstr>Spaten</vt:lpstr>
      <vt:lpstr>Stella Artois</vt:lpstr>
      <vt:lpstr>Becks</vt:lpstr>
      <vt:lpstr>Michelob</vt:lpstr>
      <vt:lpstr>Tonica</vt:lpstr>
      <vt:lpstr>Patagonia</vt:lpstr>
      <vt:lpstr>Zé Delivery</vt:lpstr>
      <vt:lpstr>Institucional</vt:lpstr>
      <vt:lpstr>Database</vt:lpstr>
      <vt:lpstr>data usage</vt:lpstr>
      <vt:lpstr>cp&gt;12W</vt:lpstr>
      <vt:lpstr>% 10"</vt:lpstr>
      <vt:lpstr>reach_fb</vt:lpstr>
      <vt:lpstr>freq_fb</vt:lpstr>
      <vt:lpstr>reach_yt</vt:lpstr>
      <vt:lpstr>mix_yt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Adrielle Costa Souza</dc:creator>
  <cp:keywords/>
  <dc:description/>
  <cp:lastModifiedBy>Gabriel Antonio Fogaca Vieira</cp:lastModifiedBy>
  <cp:revision/>
  <dcterms:created xsi:type="dcterms:W3CDTF">2015-06-05T18:17:20Z</dcterms:created>
  <dcterms:modified xsi:type="dcterms:W3CDTF">2026-02-25T14:04:38Z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37a67c45-8112-4f14-b7b2-a8195fd99dbc</vt:lpwstr>
  </property>
  <property fmtid="{D5CDD505-2E9C-101B-9397-08002B2CF9AE}" pid="3" name="ABClassification">
    <vt:lpwstr>Confidential</vt:lpwstr>
  </property>
  <property fmtid="{D5CDD505-2E9C-101B-9397-08002B2CF9AE}" pid="4" name="ContentTypeId">
    <vt:lpwstr>0x010100A06A22787BC13248A93E0510E8B8E130</vt:lpwstr>
  </property>
  <property fmtid="{D5CDD505-2E9C-101B-9397-08002B2CF9AE}" pid="5" name="MediaServiceImageTags">
    <vt:lpwstr/>
  </property>
  <property fmtid="{D5CDD505-2E9C-101B-9397-08002B2CF9AE}" pid="6" name="MSIP_Label_68104b14-b53d-46de-9ae8-975cc0e84815_Enabled">
    <vt:lpwstr>true</vt:lpwstr>
  </property>
  <property fmtid="{D5CDD505-2E9C-101B-9397-08002B2CF9AE}" pid="7" name="MSIP_Label_68104b14-b53d-46de-9ae8-975cc0e84815_SetDate">
    <vt:lpwstr>2024-05-24T13:42:51Z</vt:lpwstr>
  </property>
  <property fmtid="{D5CDD505-2E9C-101B-9397-08002B2CF9AE}" pid="8" name="MSIP_Label_68104b14-b53d-46de-9ae8-975cc0e84815_Method">
    <vt:lpwstr>Privileged</vt:lpwstr>
  </property>
  <property fmtid="{D5CDD505-2E9C-101B-9397-08002B2CF9AE}" pid="9" name="MSIP_Label_68104b14-b53d-46de-9ae8-975cc0e84815_Name">
    <vt:lpwstr>ABI_MIP_InternalUseOnly</vt:lpwstr>
  </property>
  <property fmtid="{D5CDD505-2E9C-101B-9397-08002B2CF9AE}" pid="10" name="MSIP_Label_68104b14-b53d-46de-9ae8-975cc0e84815_SiteId">
    <vt:lpwstr>cef04b19-7776-4a94-b89b-375c77a8f936</vt:lpwstr>
  </property>
  <property fmtid="{D5CDD505-2E9C-101B-9397-08002B2CF9AE}" pid="11" name="MSIP_Label_68104b14-b53d-46de-9ae8-975cc0e84815_ActionId">
    <vt:lpwstr>8c0ea32d-7b06-4fce-b46f-d45ffe0c6c28</vt:lpwstr>
  </property>
  <property fmtid="{D5CDD505-2E9C-101B-9397-08002B2CF9AE}" pid="12" name="MSIP_Label_68104b14-b53d-46de-9ae8-975cc0e84815_ContentBits">
    <vt:lpwstr>0</vt:lpwstr>
  </property>
</Properties>
</file>